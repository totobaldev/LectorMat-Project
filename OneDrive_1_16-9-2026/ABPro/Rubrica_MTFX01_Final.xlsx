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DE6FCAFA-BED8-C14F-B4DD-151F75558736}" xr6:coauthVersionLast="36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F39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<sst xmlns="http://schemas.openxmlformats.org/spreadsheetml/2006/main" count="153" uniqueCount="140">
  <si>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</si>
  <si>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</si>
  <si>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</si>
  <si>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</si>
  <si>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</si>
  <si>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</si>
  <si>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</si>
  <si>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</si>
  <si>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</si>
  <si>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</si>
  <si>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</si>
  <si>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</si>
  <si>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</si>
  <si>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</si>
  <si>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</si>
  <si>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</si>
  <si>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</si>
  <si>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</si>
  <si>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</si>
  <si>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</si>
  <si>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</si>
  <si>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</si>
  <si>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</si>
  <si>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</si>
  <si>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</si>
  <si>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</si>
  <si>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</si>
  <si>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</si>
  <si>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</si>
  <si>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</si>
  <si>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</si>
  <si>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</si>
  <si>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</si>
  <si>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</si>
  <si>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</si>
  <si>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</si>
  <si>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</si>
  <si>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</si>
  <si>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</si>
  <si>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</si>
  <si>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</si>
  <si>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</si>
  <si>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</si>
  <si>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</si>
  <si>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</si>
  <si>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</si>
  <si>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</si>
  <si>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</si>
  <si>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</si>
  <si>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</si>
  <si>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</si>
  <si>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</si>
  <si>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</si>
  <si>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</si>
  <si>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</si>
  <si>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</si>
  <si>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</si>
  <si>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</si>
  <si>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</si>
  <si>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</si>
  <si>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</si>
  <si>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</si>
  <si>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</si>
  <si>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</si>
  <si>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</si>
  <si>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</si>
  <si>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</si>
  <si>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</si>
  <si>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</si>
  <si>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</si>
  <si>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</si>
  <si>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</si>
  <si>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</si>
  <si>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</si>
  <si>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</si>
  <si>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</si>
  <si>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</si>
  <si>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</si>
  <si>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</si>
  <si>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</si>
  <si>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</si>
  <si>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</si>
  <si>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</si>
  <si>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</si>
  <si>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</si>
  <si>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</si>
  <si>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</si>
  <si>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</si>
  <si>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</si>
  <si>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</si>
  <si>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</si>
  <si>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</si>
  <si>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</si>
  <si>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</si>
  <si>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</si>
  <si>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</si>
  <si>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</si>
  <si>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</si>
  <si>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</si>
  <si>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</si>
  <si>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</si>
  <si>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</si>
  <si>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</si>
  <si>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</si>
  <si>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</si>
  <si>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</si>
  <si>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</si>
  <si>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</si>
  <si>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</si>
  <si>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</si>
  <si>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</si>
  <si>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</si>
  <si>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</si>
  <si>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</si>
  <si>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</si>
  <si>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</si>
  <si>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</si>
  <si>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</si>
  <si>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</si>
  <si>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</si>
  <si>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</si>
  <si>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</si>
  <si>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</si>
  <si>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</si>
  <si>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</si>
  <si>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</si>
  <si>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</si>
  <si>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</si>
  <si>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</si>
  <si>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</si>
  <si>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</si>
  <si>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</si>
  <si>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</si>
  <si>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</si>
  <si>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F</t>
  </si>
  <si>
    <t>NOTA RUBRICA (90%)</t>
  </si>
  <si>
    <t>AUTO-COEVALUACION (10%)</t>
  </si>
  <si>
    <t>ROGERS- CRISTOPHER</t>
  </si>
  <si>
    <t>ANGELO-MARCOS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</si>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</sst>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28" zoomScaleNormal="80" workbookViewId="0">
      <selection activeCell="F35" sqref="F35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>
      <c r="B2" s="1"/>
      <c r="C2" s="45" t="s">
        <v>0</v>
      </c>
      <c r="D2" s="45"/>
      <c r="E2" s="45"/>
      <c r="F2" s="15" t="s">
        <v>132</v>
      </c>
      <c r="G2" s="3"/>
      <c r="H2" s="46" t="s">
        <v>1</v>
      </c>
      <c r="I2" s="46"/>
      <c r="J2" s="46"/>
      <c r="K2" s="4">
        <v>21</v>
      </c>
    </row>
    <row r="3" spans="1:18">
      <c r="B3" s="1"/>
      <c r="C3" s="45" t="s">
        <v>2</v>
      </c>
      <c r="D3" s="45"/>
      <c r="E3" s="45"/>
      <c r="F3" s="15" t="s">
        <v>133</v>
      </c>
      <c r="G3" s="3"/>
      <c r="H3" s="3"/>
      <c r="I3" s="3"/>
      <c r="J3" s="3"/>
      <c r="K3" s="3"/>
    </row>
    <row r="4" spans="1:18">
      <c r="B4" s="1"/>
      <c r="C4" s="45" t="s">
        <v>3</v>
      </c>
      <c r="D4" s="45"/>
      <c r="E4" s="45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48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9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9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9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9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49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9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9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1" ht="41.25" customHeight="1">
      <c r="A17" s="2">
        <v>9</v>
      </c>
      <c r="B17" s="27" t="s">
        <v>32</v>
      </c>
      <c r="C17" s="38" t="s">
        <v>38</v>
      </c>
      <c r="D17" s="49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1" ht="53.25" customHeight="1">
      <c r="A18" s="2">
        <v>10</v>
      </c>
      <c r="B18" s="27" t="s">
        <v>37</v>
      </c>
      <c r="C18" s="35" t="s">
        <v>44</v>
      </c>
      <c r="D18" s="49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9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49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>
      <c r="A21" s="2">
        <v>13</v>
      </c>
      <c r="B21" s="27" t="s">
        <v>43</v>
      </c>
      <c r="C21" s="35" t="s">
        <v>51</v>
      </c>
      <c r="D21" s="49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>
      <c r="B22" s="27" t="s">
        <v>43</v>
      </c>
      <c r="C22" s="35" t="s">
        <v>56</v>
      </c>
      <c r="D22" s="49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>
      <c r="A23" s="2">
        <v>15</v>
      </c>
      <c r="B23" s="27" t="s">
        <v>61</v>
      </c>
      <c r="C23" s="17" t="s">
        <v>125</v>
      </c>
      <c r="D23" s="50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>
      <c r="A24" s="2">
        <v>16</v>
      </c>
      <c r="B24" s="27" t="s">
        <v>61</v>
      </c>
      <c r="C24" s="17" t="s">
        <v>63</v>
      </c>
      <c r="D24" s="50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5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>
      <c r="A26" s="2">
        <v>18</v>
      </c>
      <c r="B26" s="27" t="s">
        <v>8</v>
      </c>
      <c r="C26" s="17" t="s">
        <v>73</v>
      </c>
      <c r="D26" s="50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50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1" ht="85.5" customHeight="1">
      <c r="A28" s="2">
        <v>20</v>
      </c>
      <c r="B28" s="27" t="s">
        <v>8</v>
      </c>
      <c r="C28" s="17" t="s">
        <v>83</v>
      </c>
      <c r="D28" s="50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>
      <c r="A29" s="2">
        <v>21</v>
      </c>
      <c r="B29" s="27" t="s">
        <v>8</v>
      </c>
      <c r="C29" s="17" t="s">
        <v>88</v>
      </c>
      <c r="D29" s="50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0.92000000000000026</v>
      </c>
    </row>
    <row r="31" spans="1:11" ht="40" customHeight="1">
      <c r="I31" s="39" t="s">
        <v>96</v>
      </c>
      <c r="J31" s="40"/>
      <c r="K31" s="23">
        <f>VLOOKUP(ROUND(K30*100,0),Hoja1!A:B,2,FALSE)</f>
        <v>6.5</v>
      </c>
    </row>
    <row r="35" spans="2:6" ht="18">
      <c r="F35" s="56" t="s">
        <v>139</v>
      </c>
    </row>
    <row r="36" spans="2:6" ht="18">
      <c r="F36" s="52"/>
    </row>
    <row r="37" spans="2:6" ht="14">
      <c r="B37" s="55"/>
      <c r="C37" s="55" t="s">
        <v>135</v>
      </c>
      <c r="D37" s="55">
        <v>65</v>
      </c>
      <c r="E37" s="55"/>
      <c r="F37" s="53"/>
    </row>
    <row r="38" spans="2:6" ht="14">
      <c r="B38" s="55"/>
      <c r="C38" s="55"/>
      <c r="D38" s="55"/>
      <c r="E38" s="55"/>
      <c r="F38" s="53"/>
    </row>
    <row r="39" spans="2:6" ht="14">
      <c r="B39" s="55"/>
      <c r="C39" s="55" t="s">
        <v>136</v>
      </c>
      <c r="D39" s="55" t="s">
        <v>137</v>
      </c>
      <c r="E39" s="55">
        <v>70</v>
      </c>
      <c r="F39" s="54">
        <f>(D37*90%)+(E39*10%)</f>
        <v>65.5</v>
      </c>
    </row>
    <row r="40" spans="2:6" ht="14">
      <c r="B40" s="55"/>
      <c r="C40" s="55"/>
      <c r="D40" s="55" t="s">
        <v>138</v>
      </c>
      <c r="E40" s="55">
        <v>60</v>
      </c>
      <c r="F40" s="54">
        <f>(D37*90%)+(E40*10%)</f>
        <v>64.5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2023-12-26T15:23:44Z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