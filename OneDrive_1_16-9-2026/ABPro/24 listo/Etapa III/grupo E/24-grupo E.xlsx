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"/>
    </mc:Choice>
  </mc:AlternateContent>
  <xr:revisionPtr revIDLastSave="0" documentId="8_{211ADDCE-6DC3-F044-91C8-0C64D2F5DF03}" xr6:coauthVersionLast="36" xr6:coauthVersionMax="36" xr10:uidLastSave="{00000000-0000-0000-0000-000000000000}"/>
  <bookViews>
    <workbookView xWindow="0" yWindow="460" windowWidth="25600" windowHeight="1432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K22" i="1" s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9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<sst xmlns="http://schemas.openxmlformats.org/spreadsheetml/2006/main" count="153" uniqueCount="140">
  <si>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</si>
  <si>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</si>
  <si>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</si>
  <si>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</si>
  <si>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</si>
  <si>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</si>
  <si>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</si>
  <si>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</si>
  <si>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</si>
  <si>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</si>
  <si>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</si>
  <si>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</si>
  <si>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</si>
  <si>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</si>
  <si>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</si>
  <si>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</si>
  <si>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</si>
  <si>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</si>
  <si>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</si>
  <si>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</si>
  <si>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</si>
  <si>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</si>
  <si>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</si>
  <si>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</si>
  <si>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</si>
  <si>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</si>
  <si>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</si>
  <si>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</si>
  <si>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</si>
  <si>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</si>
  <si>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</si>
  <si>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</si>
  <si>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</si>
  <si>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</si>
  <si>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</si>
  <si>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</si>
  <si>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</si>
  <si>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</si>
  <si>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</si>
  <si>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</si>
  <si>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</si>
  <si>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</si>
  <si>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</si>
  <si>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</si>
  <si>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</si>
  <si>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</si>
  <si>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</si>
  <si>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</si>
  <si>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</si>
  <si>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</si>
  <si>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</si>
  <si>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</si>
  <si>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</si>
  <si>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</si>
  <si>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</si>
  <si>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</si>
  <si>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</si>
  <si>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</si>
  <si>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</si>
  <si>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</si>
  <si>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</si>
  <si>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</si>
  <si>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</si>
  <si>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</si>
  <si>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</si>
  <si>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</si>
  <si>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</si>
  <si>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</si>
  <si>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</si>
  <si>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</si>
  <si>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</si>
  <si>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</si>
  <si>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</si>
  <si>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</si>
  <si>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</si>
  <si>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</si>
  <si>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</si>
  <si>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</si>
  <si>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</si>
  <si>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</si>
  <si>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</si>
  <si>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</si>
  <si>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</si>
  <si>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</si>
  <si>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</si>
  <si>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</si>
  <si>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</si>
  <si>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</si>
  <si>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</si>
  <si>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</si>
  <si>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</si>
  <si>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</si>
  <si>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</si>
  <si>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</si>
  <si>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</si>
  <si>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</si>
  <si>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</si>
  <si>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</si>
  <si>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</si>
  <si>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</si>
  <si>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</si>
  <si>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</si>
  <si>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</si>
  <si>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</si>
  <si>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</si>
  <si>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</si>
  <si>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</si>
  <si>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</si>
  <si>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</si>
  <si>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</si>
  <si>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</si>
  <si>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</si>
  <si>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</si>
  <si>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</si>
  <si>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</si>
  <si>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</si>
  <si>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</si>
  <si>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</si>
  <si>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</si>
  <si>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</si>
  <si>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</si>
  <si>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</si>
  <si>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</si>
  <si>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</si>
  <si>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</si>
  <si>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</si>
  <si>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</si>
  <si>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</si>
  <si>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</si>
  <si>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</si>
  <si>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</si>
  <si>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</si>
  <si>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</si>
  <si>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</si>
  <si>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AUTOEVALUACIÓN+COEVALUACIÓN (10%)</t>
  </si>
  <si>
    <t>RÚBRICA (90%)</t>
  </si>
  <si>
    <t>NOTA FINAL</t>
  </si>
  <si>
    <t>GRUPO E</t>
  </si>
  <si>
    <t>si bien el tema está relacionado con la especialidad (al referirse a vehiculos electricos) el enfoque es solo de forma ambeintal y emisión de CO2, crear conciencia a la ciudadania. No muestra cálculos, ni nada relacionado con los contenidos desarrollados durante funciones y geometria o resolucion de problemas.</t>
  </si>
  <si>
    <t>su proyecto se presneta como un tema de investigación más que un ABPro, por tanto muestra indagación, pero no relacionada con la asigantura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</si>
</sst>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8"/>
      <color theme="1"/>
      <name val="Open Sans"/>
    </font>
    <font>
      <sz val="18"/>
      <color theme="1"/>
      <name val="Open Sans"/>
    </font>
    <font>
      <sz val="14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24" fillId="0" borderId="0" xfId="0" applyFont="1"/>
    <xf numFmtId="0" fontId="22" fillId="10" borderId="6" xfId="0" applyFont="1" applyFill="1" applyBorder="1"/>
    <xf numFmtId="1" fontId="23" fillId="10" borderId="6" xfId="0" applyNumberFormat="1" applyFont="1" applyFill="1" applyBorder="1"/>
    <xf numFmtId="0" fontId="18" fillId="0" borderId="6" xfId="0" applyFont="1" applyFill="1" applyBorder="1" applyAlignment="1">
      <alignment vertical="center" wrapText="1"/>
    </xf>
    <xf numFmtId="0" fontId="21" fillId="0" borderId="6" xfId="0" applyFont="1" applyFill="1" applyBorder="1" applyAlignment="1">
      <alignment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zoomScale="109" zoomScaleNormal="80" workbookViewId="0">
      <selection activeCell="G51" sqref="G51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57.33203125" style="2" customWidth="1"/>
    <col min="13" max="13" width="45.33203125" style="2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46" t="s">
        <v>130</v>
      </c>
      <c r="F9" s="33" t="s">
        <v>131</v>
      </c>
      <c r="G9" s="33" t="s">
        <v>10</v>
      </c>
      <c r="H9" s="34">
        <v>2</v>
      </c>
      <c r="I9" s="19">
        <v>7</v>
      </c>
      <c r="J9" s="20">
        <f>I9/6-1/6</f>
        <v>1</v>
      </c>
      <c r="K9" s="21">
        <f>J9*H9/100</f>
        <v>0.02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7" t="s">
        <v>105</v>
      </c>
      <c r="E10" s="40" t="s">
        <v>106</v>
      </c>
      <c r="F10" s="36" t="s">
        <v>107</v>
      </c>
      <c r="G10" s="36" t="s">
        <v>14</v>
      </c>
      <c r="H10" s="34">
        <v>2</v>
      </c>
      <c r="I10" s="19">
        <v>5</v>
      </c>
      <c r="J10" s="20">
        <f t="shared" ref="J10:J29" si="0">I10/6-1/6</f>
        <v>0.66666666666666674</v>
      </c>
      <c r="K10" s="21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36" t="s">
        <v>108</v>
      </c>
      <c r="E11" s="36" t="s">
        <v>109</v>
      </c>
      <c r="F11" s="40" t="s">
        <v>110</v>
      </c>
      <c r="G11" s="37" t="s">
        <v>111</v>
      </c>
      <c r="H11" s="34">
        <v>10</v>
      </c>
      <c r="I11" s="19">
        <v>3</v>
      </c>
      <c r="J11" s="20">
        <f t="shared" si="0"/>
        <v>0.33333333333333337</v>
      </c>
      <c r="K11" s="21">
        <f t="shared" si="1"/>
        <v>3.333333333333334E-2</v>
      </c>
      <c r="L11" s="2" t="s">
        <v>138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7" t="s">
        <v>18</v>
      </c>
      <c r="E12" s="40" t="s">
        <v>19</v>
      </c>
      <c r="F12" s="36" t="s">
        <v>20</v>
      </c>
      <c r="G12" s="33" t="s">
        <v>112</v>
      </c>
      <c r="H12" s="34">
        <v>5</v>
      </c>
      <c r="I12" s="19">
        <v>5</v>
      </c>
      <c r="J12" s="20">
        <f t="shared" si="0"/>
        <v>0.66666666666666674</v>
      </c>
      <c r="K12" s="21">
        <f t="shared" si="1"/>
        <v>3.333333333333334E-2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47" t="s">
        <v>21</v>
      </c>
      <c r="E13" s="47" t="s">
        <v>113</v>
      </c>
      <c r="F13" s="40" t="s">
        <v>22</v>
      </c>
      <c r="G13" s="33" t="s">
        <v>23</v>
      </c>
      <c r="H13" s="34">
        <v>5</v>
      </c>
      <c r="I13" s="19">
        <v>3</v>
      </c>
      <c r="J13" s="20">
        <f t="shared" si="0"/>
        <v>0.33333333333333337</v>
      </c>
      <c r="K13" s="21">
        <f t="shared" si="1"/>
        <v>1.666666666666667E-2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36" t="s">
        <v>114</v>
      </c>
      <c r="E14" s="36" t="s">
        <v>25</v>
      </c>
      <c r="F14" s="47" t="s">
        <v>26</v>
      </c>
      <c r="G14" s="40" t="s">
        <v>27</v>
      </c>
      <c r="H14" s="34">
        <v>10</v>
      </c>
      <c r="I14" s="19">
        <v>1</v>
      </c>
      <c r="J14" s="20">
        <f t="shared" si="0"/>
        <v>0</v>
      </c>
      <c r="K14" s="21">
        <f t="shared" si="1"/>
        <v>0</v>
      </c>
    </row>
    <row r="15" spans="1:18" ht="82.5" customHeight="1">
      <c r="A15" s="12">
        <v>7</v>
      </c>
      <c r="B15" s="27" t="s">
        <v>16</v>
      </c>
      <c r="C15" s="38" t="s">
        <v>28</v>
      </c>
      <c r="D15" s="47" t="s">
        <v>29</v>
      </c>
      <c r="E15" s="36" t="s">
        <v>115</v>
      </c>
      <c r="F15" s="40" t="s">
        <v>30</v>
      </c>
      <c r="G15" s="33" t="s">
        <v>31</v>
      </c>
      <c r="H15" s="34">
        <v>5</v>
      </c>
      <c r="I15" s="19">
        <v>3</v>
      </c>
      <c r="J15" s="20">
        <f t="shared" si="0"/>
        <v>0.33333333333333337</v>
      </c>
      <c r="K15" s="21">
        <f t="shared" si="1"/>
        <v>1.666666666666667E-2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7" t="s">
        <v>34</v>
      </c>
      <c r="E16" s="40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2" ht="41.25" customHeight="1">
      <c r="A17" s="2">
        <v>9</v>
      </c>
      <c r="B17" s="27" t="s">
        <v>32</v>
      </c>
      <c r="C17" s="38" t="s">
        <v>38</v>
      </c>
      <c r="D17" s="36" t="s">
        <v>39</v>
      </c>
      <c r="E17" s="47" t="s">
        <v>40</v>
      </c>
      <c r="F17" s="36" t="s">
        <v>41</v>
      </c>
      <c r="G17" s="40" t="s">
        <v>42</v>
      </c>
      <c r="H17" s="34">
        <v>3</v>
      </c>
      <c r="I17" s="19">
        <v>1</v>
      </c>
      <c r="J17" s="20">
        <f t="shared" si="0"/>
        <v>0</v>
      </c>
      <c r="K17" s="21">
        <f t="shared" si="1"/>
        <v>0</v>
      </c>
    </row>
    <row r="18" spans="1:12" ht="53.25" customHeight="1">
      <c r="A18" s="2">
        <v>10</v>
      </c>
      <c r="B18" s="27" t="s">
        <v>37</v>
      </c>
      <c r="C18" s="35" t="s">
        <v>44</v>
      </c>
      <c r="D18" s="47" t="s">
        <v>117</v>
      </c>
      <c r="E18" s="36" t="s">
        <v>45</v>
      </c>
      <c r="F18" s="36" t="s">
        <v>46</v>
      </c>
      <c r="G18" s="40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  <c r="L18" s="2" t="s">
        <v>139</v>
      </c>
    </row>
    <row r="19" spans="1:12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2" ht="84" customHeight="1">
      <c r="A20" s="2">
        <v>12</v>
      </c>
      <c r="B20" s="27" t="s">
        <v>43</v>
      </c>
      <c r="C20" s="35" t="s">
        <v>48</v>
      </c>
      <c r="D20" s="47" t="s">
        <v>49</v>
      </c>
      <c r="E20" s="36" t="s">
        <v>50</v>
      </c>
      <c r="F20" s="36" t="s">
        <v>123</v>
      </c>
      <c r="G20" s="40" t="s">
        <v>124</v>
      </c>
      <c r="H20" s="34">
        <v>2</v>
      </c>
      <c r="I20" s="19">
        <v>1</v>
      </c>
      <c r="J20" s="20">
        <f t="shared" si="0"/>
        <v>0</v>
      </c>
      <c r="K20" s="21">
        <f t="shared" si="1"/>
        <v>0</v>
      </c>
    </row>
    <row r="21" spans="1:12" ht="93" customHeight="1">
      <c r="A21" s="2">
        <v>13</v>
      </c>
      <c r="B21" s="27" t="s">
        <v>43</v>
      </c>
      <c r="C21" s="35" t="s">
        <v>51</v>
      </c>
      <c r="D21" s="47" t="s">
        <v>52</v>
      </c>
      <c r="E21" s="36" t="s">
        <v>53</v>
      </c>
      <c r="F21" s="40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2" ht="73.5" customHeight="1">
      <c r="B22" s="27" t="s">
        <v>43</v>
      </c>
      <c r="C22" s="35" t="s">
        <v>56</v>
      </c>
      <c r="D22" s="47" t="s">
        <v>57</v>
      </c>
      <c r="E22" s="36" t="s">
        <v>58</v>
      </c>
      <c r="F22" s="40" t="s">
        <v>59</v>
      </c>
      <c r="G22" s="36" t="s">
        <v>60</v>
      </c>
      <c r="H22" s="34">
        <v>3</v>
      </c>
      <c r="I22" s="19">
        <v>3</v>
      </c>
      <c r="J22" s="20">
        <f t="shared" si="0"/>
        <v>0.33333333333333337</v>
      </c>
      <c r="K22" s="21">
        <f t="shared" si="1"/>
        <v>0.01</v>
      </c>
    </row>
    <row r="23" spans="1:12" ht="92.25" customHeight="1">
      <c r="A23" s="2">
        <v>15</v>
      </c>
      <c r="B23" s="27" t="s">
        <v>61</v>
      </c>
      <c r="C23" s="17" t="s">
        <v>125</v>
      </c>
      <c r="D23" s="42" t="s">
        <v>126</v>
      </c>
      <c r="E23" s="16" t="s">
        <v>127</v>
      </c>
      <c r="F23" s="41" t="s">
        <v>128</v>
      </c>
      <c r="G23" s="16" t="s">
        <v>62</v>
      </c>
      <c r="H23" s="11">
        <v>5</v>
      </c>
      <c r="I23" s="19">
        <v>3</v>
      </c>
      <c r="J23" s="20">
        <f t="shared" si="0"/>
        <v>0.33333333333333337</v>
      </c>
      <c r="K23" s="21">
        <f t="shared" si="1"/>
        <v>1.666666666666667E-2</v>
      </c>
    </row>
    <row r="24" spans="1:12" ht="102" customHeight="1">
      <c r="A24" s="2">
        <v>16</v>
      </c>
      <c r="B24" s="27" t="s">
        <v>61</v>
      </c>
      <c r="C24" s="17" t="s">
        <v>63</v>
      </c>
      <c r="D24" s="42" t="s">
        <v>64</v>
      </c>
      <c r="E24" s="18" t="s">
        <v>65</v>
      </c>
      <c r="F24" s="41" t="s">
        <v>66</v>
      </c>
      <c r="G24" s="16" t="s">
        <v>67</v>
      </c>
      <c r="H24" s="11">
        <v>5</v>
      </c>
      <c r="I24" s="19">
        <v>3</v>
      </c>
      <c r="J24" s="20">
        <f t="shared" si="0"/>
        <v>0.33333333333333337</v>
      </c>
      <c r="K24" s="21">
        <f t="shared" si="1"/>
        <v>1.666666666666667E-2</v>
      </c>
    </row>
    <row r="25" spans="1:12" ht="87.75" customHeight="1">
      <c r="A25" s="2">
        <v>17</v>
      </c>
      <c r="B25" s="27" t="s">
        <v>61</v>
      </c>
      <c r="C25" s="17" t="s">
        <v>68</v>
      </c>
      <c r="D25" s="18" t="s">
        <v>69</v>
      </c>
      <c r="E25" s="41" t="s">
        <v>70</v>
      </c>
      <c r="F25" s="16" t="s">
        <v>71</v>
      </c>
      <c r="G25" s="16" t="s">
        <v>72</v>
      </c>
      <c r="H25" s="11">
        <v>3</v>
      </c>
      <c r="I25" s="19">
        <v>5</v>
      </c>
      <c r="J25" s="20">
        <f t="shared" si="0"/>
        <v>0.66666666666666674</v>
      </c>
      <c r="K25" s="21">
        <f t="shared" si="1"/>
        <v>0.02</v>
      </c>
    </row>
    <row r="26" spans="1:12" ht="138.75" customHeight="1">
      <c r="A26" s="2">
        <v>18</v>
      </c>
      <c r="B26" s="27" t="s">
        <v>8</v>
      </c>
      <c r="C26" s="17" t="s">
        <v>73</v>
      </c>
      <c r="D26" s="16" t="s">
        <v>74</v>
      </c>
      <c r="E26" s="41" t="s">
        <v>75</v>
      </c>
      <c r="F26" s="16" t="s">
        <v>76</v>
      </c>
      <c r="G26" s="42" t="s">
        <v>77</v>
      </c>
      <c r="H26" s="11">
        <v>3</v>
      </c>
      <c r="I26" s="19">
        <v>5</v>
      </c>
      <c r="J26" s="20">
        <f t="shared" si="0"/>
        <v>0.66666666666666674</v>
      </c>
      <c r="K26" s="21">
        <f t="shared" si="1"/>
        <v>0.02</v>
      </c>
    </row>
    <row r="27" spans="1:12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41" t="s">
        <v>80</v>
      </c>
      <c r="F27" s="42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2" ht="85.5" customHeight="1">
      <c r="A28" s="2">
        <v>20</v>
      </c>
      <c r="B28" s="27" t="s">
        <v>8</v>
      </c>
      <c r="C28" s="17" t="s">
        <v>83</v>
      </c>
      <c r="D28" s="16" t="s">
        <v>84</v>
      </c>
      <c r="E28" s="41" t="s">
        <v>85</v>
      </c>
      <c r="F28" s="16" t="s">
        <v>86</v>
      </c>
      <c r="G28" s="16" t="s">
        <v>87</v>
      </c>
      <c r="H28" s="11">
        <v>3</v>
      </c>
      <c r="I28" s="19">
        <v>5</v>
      </c>
      <c r="J28" s="20">
        <f t="shared" si="0"/>
        <v>0.66666666666666674</v>
      </c>
      <c r="K28" s="21">
        <f t="shared" si="1"/>
        <v>0.02</v>
      </c>
    </row>
    <row r="29" spans="1:12" ht="75" customHeight="1">
      <c r="A29" s="2">
        <v>21</v>
      </c>
      <c r="B29" s="27" t="s">
        <v>8</v>
      </c>
      <c r="C29" s="17" t="s">
        <v>88</v>
      </c>
      <c r="D29" s="16" t="s">
        <v>89</v>
      </c>
      <c r="E29" s="42" t="s">
        <v>90</v>
      </c>
      <c r="F29" s="41" t="s">
        <v>91</v>
      </c>
      <c r="G29" s="16" t="s">
        <v>92</v>
      </c>
      <c r="H29" s="11">
        <v>10</v>
      </c>
      <c r="I29" s="19">
        <v>3</v>
      </c>
      <c r="J29" s="20">
        <f t="shared" si="0"/>
        <v>0.33333333333333337</v>
      </c>
      <c r="K29" s="21">
        <f t="shared" si="1"/>
        <v>3.333333333333334E-2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0.47666666666666668</v>
      </c>
    </row>
    <row r="31" spans="1:12" ht="40" customHeight="1">
      <c r="I31" s="48" t="s">
        <v>96</v>
      </c>
      <c r="J31" s="49"/>
      <c r="K31" s="23">
        <f>VLOOKUP(ROUND(K30*100,0),Hoja1!A:B,2,FALSE)</f>
        <v>3.9</v>
      </c>
    </row>
    <row r="37" spans="5:6" ht="18">
      <c r="E37" s="43" t="s">
        <v>135</v>
      </c>
      <c r="F37" s="43">
        <v>39</v>
      </c>
    </row>
    <row r="38" spans="5:6" ht="18">
      <c r="E38" s="43" t="s">
        <v>134</v>
      </c>
      <c r="F38" s="43">
        <v>70</v>
      </c>
    </row>
    <row r="40" spans="5:6" ht="23">
      <c r="E40" s="44" t="s">
        <v>136</v>
      </c>
      <c r="F40" s="45">
        <f>(F37*90%)+(F38*10%)</f>
        <v>42.1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2023-12-19T20:52:54Z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