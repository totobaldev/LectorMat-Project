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BD9FBC68-293A-304D-A90C-606E5D6173F4}" xr6:coauthVersionLast="36" xr6:coauthVersionMax="47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5" i="1"/>
  <c r="K19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<sst xmlns="http://schemas.openxmlformats.org/spreadsheetml/2006/main" count="151" uniqueCount="138">
  <si>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</si>
  <si>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</si>
  <si>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</si>
  <si>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</si>
  <si>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</si>
  <si>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</si>
  <si>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</si>
  <si>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</si>
  <si>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</si>
  <si>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</si>
  <si>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</si>
  <si>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</si>
  <si>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</si>
  <si>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</si>
  <si>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</si>
  <si>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</si>
  <si>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</si>
  <si>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</si>
  <si>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</si>
  <si>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</si>
  <si>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</si>
  <si>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</si>
  <si>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</si>
  <si>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</si>
  <si>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</si>
  <si>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</si>
  <si>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</si>
  <si>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</si>
  <si>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</si>
  <si>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</si>
  <si>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</si>
  <si>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</si>
  <si>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</si>
  <si>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</si>
  <si>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</si>
  <si>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</si>
  <si>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</si>
  <si>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</si>
  <si>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</si>
  <si>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</si>
  <si>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</si>
  <si>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</si>
  <si>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</si>
  <si>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</si>
  <si>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</si>
  <si>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</si>
  <si>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</si>
  <si>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</si>
  <si>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</si>
  <si>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</si>
  <si>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</si>
  <si>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</si>
  <si>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</si>
  <si>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</si>
  <si>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</si>
  <si>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</si>
  <si>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</si>
  <si>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</si>
  <si>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</si>
  <si>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</si>
  <si>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</si>
  <si>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</si>
  <si>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</si>
  <si>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</si>
  <si>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</si>
  <si>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</si>
  <si>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</si>
  <si>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</si>
  <si>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</si>
  <si>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</si>
  <si>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</si>
  <si>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</si>
  <si>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</si>
  <si>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</si>
  <si>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</si>
  <si>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</si>
  <si>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</si>
  <si>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</si>
  <si>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</si>
  <si>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</si>
  <si>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</si>
  <si>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</si>
  <si>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</si>
  <si>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</si>
  <si>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</si>
  <si>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</si>
  <si>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</si>
  <si>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</si>
  <si>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</si>
  <si>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</si>
  <si>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</si>
  <si>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</si>
  <si>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</si>
  <si>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</si>
  <si>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</si>
  <si>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</si>
  <si>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</si>
  <si>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</si>
  <si>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</si>
  <si>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</si>
  <si>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</si>
  <si>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</si>
  <si>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</si>
  <si>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</si>
  <si>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</si>
  <si>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</si>
  <si>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</si>
  <si>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</si>
  <si>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</si>
  <si>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</si>
  <si>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</si>
  <si>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</si>
  <si>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</si>
  <si>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</si>
  <si>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</si>
  <si>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</si>
  <si>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</si>
  <si>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</si>
  <si>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</si>
  <si>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</si>
  <si>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</si>
  <si>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</si>
  <si>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</si>
  <si>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</si>
  <si>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</si>
  <si>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</si>
  <si>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</si>
  <si>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</si>
  <si>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</si>
  <si>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</si>
  <si>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</si>
  <si>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</si>
  <si>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</si>
  <si>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</si>
  <si>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C</t>
  </si>
  <si>
    <t>AUTOEVALUACIÓN+COEVALUACIÓN (10%)</t>
  </si>
  <si>
    <t>RÚBRICA (90%)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</si>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</sst>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18"/>
      <color theme="1"/>
      <name val="Open Sans"/>
    </font>
    <font>
      <sz val="18"/>
      <color theme="1"/>
      <name val="Open Sans"/>
    </font>
    <font>
      <sz val="14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24" fillId="0" borderId="0" xfId="0" applyFont="1"/>
    <xf numFmtId="0" fontId="22" fillId="10" borderId="6" xfId="0" applyFont="1" applyFill="1" applyBorder="1"/>
    <xf numFmtId="1" fontId="23" fillId="10" borderId="6" xfId="0" applyNumberFormat="1" applyFont="1" applyFill="1" applyBorder="1"/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D28" zoomScale="109" zoomScaleNormal="80" workbookViewId="0">
      <selection activeCell="G47" sqref="G47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11.5" style="2"/>
    <col min="13" max="13" width="11.5" style="2" hidden="1" customWidth="1"/>
    <col min="14" max="16384" width="11.5" style="2"/>
  </cols>
  <sheetData>
    <row r="1" spans="1:18" ht="78" customHeight="1">
      <c r="B1" s="1"/>
      <c r="C1" s="44"/>
      <c r="D1" s="44"/>
      <c r="E1" s="44"/>
      <c r="F1" s="44"/>
      <c r="G1" s="44"/>
      <c r="H1" s="44"/>
      <c r="I1" s="44"/>
      <c r="J1" s="44"/>
      <c r="K1" s="44"/>
    </row>
    <row r="2" spans="1:18">
      <c r="B2" s="1"/>
      <c r="C2" s="45" t="s">
        <v>0</v>
      </c>
      <c r="D2" s="45"/>
      <c r="E2" s="45"/>
      <c r="F2" s="15" t="s">
        <v>132</v>
      </c>
      <c r="G2" s="3"/>
      <c r="H2" s="46" t="s">
        <v>1</v>
      </c>
      <c r="I2" s="46"/>
      <c r="J2" s="46"/>
      <c r="K2" s="4">
        <v>21</v>
      </c>
    </row>
    <row r="3" spans="1:18">
      <c r="B3" s="1"/>
      <c r="C3" s="45" t="s">
        <v>2</v>
      </c>
      <c r="D3" s="45"/>
      <c r="E3" s="45"/>
      <c r="F3" s="15" t="s">
        <v>133</v>
      </c>
      <c r="G3" s="3"/>
      <c r="H3" s="3"/>
      <c r="I3" s="3"/>
      <c r="J3" s="3"/>
      <c r="K3" s="3"/>
    </row>
    <row r="4" spans="1:18">
      <c r="B4" s="1"/>
      <c r="C4" s="45" t="s">
        <v>3</v>
      </c>
      <c r="D4" s="45"/>
      <c r="E4" s="45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47"/>
      <c r="D5" s="47"/>
      <c r="E5" s="47"/>
      <c r="F5" s="4"/>
      <c r="G5" s="3"/>
      <c r="H5" s="3"/>
      <c r="I5" s="3"/>
      <c r="J5" s="3"/>
      <c r="K5" s="3"/>
    </row>
    <row r="6" spans="1:18" ht="33" customHeight="1" thickBot="1">
      <c r="B6" s="1"/>
      <c r="C6" s="41"/>
      <c r="D6" s="42"/>
      <c r="E6" s="42"/>
      <c r="F6" s="42"/>
      <c r="G6" s="42"/>
      <c r="H6" s="42"/>
      <c r="I6" s="42"/>
      <c r="J6" s="42"/>
      <c r="K6" s="43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3" t="s">
        <v>129</v>
      </c>
      <c r="E9" s="48" t="s">
        <v>130</v>
      </c>
      <c r="F9" s="33" t="s">
        <v>131</v>
      </c>
      <c r="G9" s="33" t="s">
        <v>10</v>
      </c>
      <c r="H9" s="34">
        <v>2</v>
      </c>
      <c r="I9" s="19">
        <v>5</v>
      </c>
      <c r="J9" s="20">
        <f>I9/6-1/6</f>
        <v>0.66666666666666674</v>
      </c>
      <c r="K9" s="21">
        <f>J9*H9/100</f>
        <v>1.3333333333333334E-2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9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36" t="s">
        <v>108</v>
      </c>
      <c r="E11" s="36" t="s">
        <v>109</v>
      </c>
      <c r="F11" s="49" t="s">
        <v>110</v>
      </c>
      <c r="G11" s="37" t="s">
        <v>111</v>
      </c>
      <c r="H11" s="34">
        <v>10</v>
      </c>
      <c r="I11" s="19">
        <v>3</v>
      </c>
      <c r="J11" s="20">
        <f t="shared" si="0"/>
        <v>0.33333333333333337</v>
      </c>
      <c r="K11" s="21">
        <f t="shared" si="1"/>
        <v>3.333333333333334E-2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9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49" t="s">
        <v>21</v>
      </c>
      <c r="E13" s="36" t="s">
        <v>113</v>
      </c>
      <c r="F13" s="36" t="s">
        <v>22</v>
      </c>
      <c r="G13" s="33" t="s">
        <v>23</v>
      </c>
      <c r="H13" s="34">
        <v>5</v>
      </c>
      <c r="I13" s="19">
        <v>7</v>
      </c>
      <c r="J13" s="20">
        <f t="shared" si="0"/>
        <v>1</v>
      </c>
      <c r="K13" s="21">
        <f t="shared" si="1"/>
        <v>0.05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36" t="s">
        <v>114</v>
      </c>
      <c r="E14" s="36" t="s">
        <v>25</v>
      </c>
      <c r="F14" s="49" t="s">
        <v>26</v>
      </c>
      <c r="G14" s="36" t="s">
        <v>27</v>
      </c>
      <c r="H14" s="34">
        <v>10</v>
      </c>
      <c r="I14" s="19">
        <v>3</v>
      </c>
      <c r="J14" s="20">
        <f t="shared" si="0"/>
        <v>0.33333333333333337</v>
      </c>
      <c r="K14" s="21">
        <f t="shared" si="1"/>
        <v>3.333333333333334E-2</v>
      </c>
    </row>
    <row r="15" spans="1:18" ht="82.5" customHeight="1">
      <c r="A15" s="12">
        <v>7</v>
      </c>
      <c r="B15" s="27" t="s">
        <v>16</v>
      </c>
      <c r="C15" s="38" t="s">
        <v>28</v>
      </c>
      <c r="D15" s="49" t="s">
        <v>29</v>
      </c>
      <c r="E15" s="36" t="s">
        <v>115</v>
      </c>
      <c r="F15" s="36" t="s">
        <v>30</v>
      </c>
      <c r="G15" s="33" t="s">
        <v>31</v>
      </c>
      <c r="H15" s="34">
        <v>5</v>
      </c>
      <c r="I15" s="19">
        <v>7</v>
      </c>
      <c r="J15" s="20">
        <f t="shared" si="0"/>
        <v>1</v>
      </c>
      <c r="K15" s="21">
        <f t="shared" si="1"/>
        <v>0.05</v>
      </c>
    </row>
    <row r="16" spans="1:18" ht="81.75" customHeight="1">
      <c r="A16" s="2">
        <v>8</v>
      </c>
      <c r="B16" s="27" t="s">
        <v>16</v>
      </c>
      <c r="C16" s="35" t="s">
        <v>33</v>
      </c>
      <c r="D16" s="49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1" ht="41.25" customHeight="1">
      <c r="A17" s="2">
        <v>9</v>
      </c>
      <c r="B17" s="27" t="s">
        <v>32</v>
      </c>
      <c r="C17" s="38" t="s">
        <v>38</v>
      </c>
      <c r="D17" s="36" t="s">
        <v>39</v>
      </c>
      <c r="E17" s="49" t="s">
        <v>40</v>
      </c>
      <c r="F17" s="36" t="s">
        <v>41</v>
      </c>
      <c r="G17" s="36" t="s">
        <v>42</v>
      </c>
      <c r="H17" s="34">
        <v>3</v>
      </c>
      <c r="I17" s="19">
        <v>5</v>
      </c>
      <c r="J17" s="20">
        <f t="shared" si="0"/>
        <v>0.66666666666666674</v>
      </c>
      <c r="K17" s="21">
        <f t="shared" si="1"/>
        <v>0.02</v>
      </c>
    </row>
    <row r="18" spans="1:11" ht="53.25" customHeight="1">
      <c r="A18" s="2">
        <v>10</v>
      </c>
      <c r="B18" s="27" t="s">
        <v>37</v>
      </c>
      <c r="C18" s="35" t="s">
        <v>44</v>
      </c>
      <c r="D18" s="49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1" ht="96.75" customHeight="1">
      <c r="A19" s="2">
        <v>11</v>
      </c>
      <c r="B19" s="27" t="s">
        <v>43</v>
      </c>
      <c r="C19" s="35" t="s">
        <v>118</v>
      </c>
      <c r="D19" s="49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>
      <c r="A20" s="2">
        <v>12</v>
      </c>
      <c r="B20" s="27" t="s">
        <v>43</v>
      </c>
      <c r="C20" s="35" t="s">
        <v>48</v>
      </c>
      <c r="D20" s="49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1" ht="93" customHeight="1">
      <c r="A21" s="2">
        <v>13</v>
      </c>
      <c r="B21" s="27" t="s">
        <v>43</v>
      </c>
      <c r="C21" s="35" t="s">
        <v>51</v>
      </c>
      <c r="D21" s="49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1" ht="73.5" customHeight="1">
      <c r="B22" s="27" t="s">
        <v>43</v>
      </c>
      <c r="C22" s="35" t="s">
        <v>56</v>
      </c>
      <c r="D22" s="49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1" ht="92.25" customHeight="1">
      <c r="A23" s="2">
        <v>15</v>
      </c>
      <c r="B23" s="27" t="s">
        <v>61</v>
      </c>
      <c r="C23" s="17" t="s">
        <v>125</v>
      </c>
      <c r="D23" s="50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1" ht="102" customHeight="1">
      <c r="A24" s="2">
        <v>16</v>
      </c>
      <c r="B24" s="27" t="s">
        <v>61</v>
      </c>
      <c r="C24" s="17" t="s">
        <v>63</v>
      </c>
      <c r="D24" s="50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>
      <c r="A25" s="2">
        <v>17</v>
      </c>
      <c r="B25" s="27" t="s">
        <v>61</v>
      </c>
      <c r="C25" s="17" t="s">
        <v>68</v>
      </c>
      <c r="D25" s="18" t="s">
        <v>69</v>
      </c>
      <c r="E25" s="50" t="s">
        <v>70</v>
      </c>
      <c r="F25" s="16" t="s">
        <v>71</v>
      </c>
      <c r="G25" s="16" t="s">
        <v>72</v>
      </c>
      <c r="H25" s="11">
        <v>3</v>
      </c>
      <c r="I25" s="19">
        <v>5</v>
      </c>
      <c r="J25" s="20">
        <f t="shared" si="0"/>
        <v>0.66666666666666674</v>
      </c>
      <c r="K25" s="21">
        <f t="shared" si="1"/>
        <v>0.02</v>
      </c>
    </row>
    <row r="26" spans="1:11" ht="138.75" customHeight="1">
      <c r="A26" s="2">
        <v>18</v>
      </c>
      <c r="B26" s="27" t="s">
        <v>8</v>
      </c>
      <c r="C26" s="17" t="s">
        <v>73</v>
      </c>
      <c r="D26" s="16" t="s">
        <v>74</v>
      </c>
      <c r="E26" s="16" t="s">
        <v>75</v>
      </c>
      <c r="F26" s="16" t="s">
        <v>76</v>
      </c>
      <c r="G26" s="50" t="s">
        <v>77</v>
      </c>
      <c r="H26" s="11">
        <v>3</v>
      </c>
      <c r="I26" s="19">
        <v>1</v>
      </c>
      <c r="J26" s="20">
        <f t="shared" si="0"/>
        <v>0</v>
      </c>
      <c r="K26" s="21">
        <f t="shared" si="1"/>
        <v>0</v>
      </c>
    </row>
    <row r="27" spans="1:11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50" t="s">
        <v>80</v>
      </c>
      <c r="F27" s="51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1" ht="85.5" customHeight="1">
      <c r="A28" s="2">
        <v>20</v>
      </c>
      <c r="B28" s="27" t="s">
        <v>8</v>
      </c>
      <c r="C28" s="17" t="s">
        <v>83</v>
      </c>
      <c r="D28" s="16" t="s">
        <v>84</v>
      </c>
      <c r="E28" s="50" t="s">
        <v>85</v>
      </c>
      <c r="F28" s="16" t="s">
        <v>86</v>
      </c>
      <c r="G28" s="16" t="s">
        <v>87</v>
      </c>
      <c r="H28" s="11">
        <v>3</v>
      </c>
      <c r="I28" s="19">
        <v>5</v>
      </c>
      <c r="J28" s="20">
        <f t="shared" si="0"/>
        <v>0.66666666666666674</v>
      </c>
      <c r="K28" s="21">
        <f t="shared" si="1"/>
        <v>0.02</v>
      </c>
    </row>
    <row r="29" spans="1:11" ht="75" customHeight="1">
      <c r="A29" s="2">
        <v>21</v>
      </c>
      <c r="B29" s="27" t="s">
        <v>8</v>
      </c>
      <c r="C29" s="17" t="s">
        <v>88</v>
      </c>
      <c r="D29" s="16" t="s">
        <v>89</v>
      </c>
      <c r="E29" s="50" t="s">
        <v>90</v>
      </c>
      <c r="F29" s="16" t="s">
        <v>91</v>
      </c>
      <c r="G29" s="16" t="s">
        <v>92</v>
      </c>
      <c r="H29" s="11">
        <v>10</v>
      </c>
      <c r="I29" s="19">
        <v>5</v>
      </c>
      <c r="J29" s="20">
        <f t="shared" si="0"/>
        <v>0.66666666666666674</v>
      </c>
      <c r="K29" s="21">
        <f t="shared" si="1"/>
        <v>6.666666666666668E-2</v>
      </c>
    </row>
    <row r="30" spans="1:11" ht="39" customHeight="1">
      <c r="D30" s="13"/>
      <c r="E30" s="13"/>
      <c r="F30" s="13"/>
      <c r="G30" s="14" t="s">
        <v>93</v>
      </c>
      <c r="H30" s="29">
        <f>SUM(H9:H29)</f>
        <v>100</v>
      </c>
      <c r="I30" s="39" t="s">
        <v>95</v>
      </c>
      <c r="J30" s="40"/>
      <c r="K30" s="22">
        <f>SUM(K9:K29)</f>
        <v>0.7333333333333335</v>
      </c>
    </row>
    <row r="31" spans="1:11" ht="40" customHeight="1">
      <c r="I31" s="39" t="s">
        <v>96</v>
      </c>
      <c r="J31" s="40"/>
      <c r="K31" s="23">
        <f>VLOOKUP(ROUND(K30*100,0),Hoja1!A:B,2,FALSE)</f>
        <v>5.4</v>
      </c>
    </row>
    <row r="37" spans="5:6" ht="18">
      <c r="E37" s="52" t="s">
        <v>136</v>
      </c>
      <c r="F37" s="52">
        <v>54</v>
      </c>
    </row>
    <row r="38" spans="5:6" ht="18">
      <c r="E38" s="52" t="s">
        <v>135</v>
      </c>
      <c r="F38" s="52">
        <v>70</v>
      </c>
    </row>
    <row r="40" spans="5:6" ht="23">
      <c r="E40" s="53" t="s">
        <v>137</v>
      </c>
      <c r="F40" s="54">
        <f>(F37*90%)+(F38*10%)</f>
        <v>55.6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2023-12-19T20:04:59Z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