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13_ncr:1_{D7674165-76F5-984E-8C74-7F4532437A70}" xr6:coauthVersionLast="36" xr6:coauthVersionMax="47" xr10:uidLastSave="{00000000-0000-0000-0000-000000000000}"/>
  <bookViews>
    <workbookView xWindow="0" yWindow="460" windowWidth="25600" windowHeight="144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4" i="1"/>
  <c r="K19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<sst xmlns="http://schemas.openxmlformats.org/spreadsheetml/2006/main" count="153" uniqueCount="140">
  <si>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</si>
  <si>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</si>
  <si>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</si>
  <si>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</si>
  <si>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</si>
  <si>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</si>
  <si>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</si>
  <si>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</si>
  <si>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</si>
  <si>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</si>
  <si>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</si>
  <si>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</si>
  <si>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</si>
  <si>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</si>
  <si>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</si>
  <si>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</si>
  <si>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</si>
  <si>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</si>
  <si>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</si>
  <si>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</si>
  <si>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</si>
  <si>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</si>
  <si>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</si>
  <si>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</si>
  <si>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</si>
  <si>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</si>
  <si>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</si>
  <si>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</si>
  <si>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</si>
  <si>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</si>
  <si>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</si>
  <si>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</si>
  <si>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</si>
  <si>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</si>
  <si>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</si>
  <si>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</si>
  <si>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</si>
  <si>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</si>
  <si>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</si>
  <si>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</si>
  <si>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</si>
  <si>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</si>
  <si>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</si>
  <si>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</si>
  <si>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</si>
  <si>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</si>
  <si>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</si>
  <si>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</si>
  <si>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</si>
  <si>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</si>
  <si>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</si>
  <si>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</si>
  <si>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</si>
  <si>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</si>
  <si>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</si>
  <si>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</si>
  <si>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</si>
  <si>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</si>
  <si>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</si>
  <si>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</si>
  <si>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</si>
  <si>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</si>
  <si>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</si>
  <si>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</si>
  <si>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</si>
  <si>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</si>
  <si>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</si>
  <si>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</si>
  <si>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</si>
  <si>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</si>
  <si>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</si>
  <si>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</si>
  <si>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</si>
  <si>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</si>
  <si>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</si>
  <si>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</si>
  <si>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</si>
  <si>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</si>
  <si>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</si>
  <si>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</si>
  <si>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</si>
  <si>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</si>
  <si>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</si>
  <si>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</si>
  <si>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</si>
  <si>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</si>
  <si>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</si>
  <si>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</si>
  <si>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</si>
  <si>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</si>
  <si>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</si>
  <si>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</si>
  <si>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</si>
  <si>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</si>
  <si>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</si>
  <si>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</si>
  <si>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</si>
  <si>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</si>
  <si>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</si>
  <si>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</si>
  <si>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</si>
  <si>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</si>
  <si>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</si>
  <si>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</si>
  <si>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</si>
  <si>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</si>
  <si>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</si>
  <si>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</si>
  <si>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</si>
  <si>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</si>
  <si>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</si>
  <si>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</si>
  <si>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</si>
  <si>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</si>
  <si>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</si>
  <si>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</si>
  <si>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</si>
  <si>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</si>
  <si>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</si>
  <si>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</si>
  <si>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</si>
  <si>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</si>
  <si>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</si>
  <si>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</si>
  <si>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</si>
  <si>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</si>
  <si>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</si>
  <si>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</si>
  <si>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</si>
  <si>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</si>
  <si>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</si>
  <si>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</si>
  <si>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</si>
  <si>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</si>
  <si>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NOTA RUBRICA (90%)</t>
  </si>
  <si>
    <t>AUTO-COEVALUACION (10%)</t>
  </si>
  <si>
    <t>NOTA FINAL</t>
  </si>
  <si>
    <t>GRUPO A</t>
  </si>
  <si>
    <t>4 DIAS DE RETRASO</t>
  </si>
  <si>
    <t>no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</si>
</sst>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  <font>
      <b/>
      <sz val="12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3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0" borderId="6" xfId="0" applyFont="1" applyFill="1" applyBorder="1" applyAlignment="1">
      <alignment vertical="center" wrapText="1"/>
    </xf>
    <xf numFmtId="0" fontId="2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23" fillId="0" borderId="11" xfId="0" applyFont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1" fontId="23" fillId="0" borderId="0" xfId="0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5" fillId="10" borderId="6" xfId="0" applyFont="1" applyFill="1" applyBorder="1" applyAlignment="1">
      <alignment horizontal="center" vertical="center"/>
    </xf>
    <xf numFmtId="1" fontId="25" fillId="10" borderId="6" xfId="0" applyNumberFormat="1" applyFont="1" applyFill="1" applyBorder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topLeftCell="B30" zoomScaleNormal="80" workbookViewId="0">
      <selection activeCell="C41" sqref="C41:D41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36.83203125" style="2" customWidth="1"/>
    <col min="13" max="13" width="22.83203125" style="2" customWidth="1"/>
    <col min="14" max="16384" width="11.5" style="2"/>
  </cols>
  <sheetData>
    <row r="1" spans="1:18" ht="78" customHeight="1">
      <c r="B1" s="1"/>
      <c r="C1" s="48"/>
      <c r="D1" s="48"/>
      <c r="E1" s="48"/>
      <c r="F1" s="48"/>
      <c r="G1" s="48"/>
      <c r="H1" s="48"/>
      <c r="I1" s="48"/>
      <c r="J1" s="48"/>
      <c r="K1" s="48"/>
    </row>
    <row r="2" spans="1:18">
      <c r="B2" s="1"/>
      <c r="C2" s="49" t="s">
        <v>0</v>
      </c>
      <c r="D2" s="49"/>
      <c r="E2" s="49"/>
      <c r="F2" s="15" t="s">
        <v>132</v>
      </c>
      <c r="G2" s="3"/>
      <c r="H2" s="50" t="s">
        <v>1</v>
      </c>
      <c r="I2" s="50"/>
      <c r="J2" s="50"/>
      <c r="K2" s="4">
        <v>21</v>
      </c>
    </row>
    <row r="3" spans="1:18">
      <c r="B3" s="1"/>
      <c r="C3" s="49" t="s">
        <v>2</v>
      </c>
      <c r="D3" s="49"/>
      <c r="E3" s="49"/>
      <c r="F3" s="15" t="s">
        <v>133</v>
      </c>
      <c r="G3" s="3"/>
      <c r="H3" s="3"/>
      <c r="I3" s="3"/>
      <c r="J3" s="3"/>
      <c r="K3" s="3"/>
    </row>
    <row r="4" spans="1:18">
      <c r="B4" s="1"/>
      <c r="C4" s="49" t="s">
        <v>3</v>
      </c>
      <c r="D4" s="49"/>
      <c r="E4" s="49"/>
      <c r="F4" s="15" t="s">
        <v>137</v>
      </c>
      <c r="G4" s="3"/>
      <c r="H4" s="3"/>
      <c r="I4" s="3"/>
      <c r="J4" s="3"/>
      <c r="K4" s="3"/>
    </row>
    <row r="5" spans="1:18" ht="14" thickBot="1">
      <c r="B5" s="1"/>
      <c r="C5" s="51"/>
      <c r="D5" s="51"/>
      <c r="E5" s="51"/>
      <c r="F5" s="4"/>
      <c r="G5" s="3"/>
      <c r="H5" s="3"/>
      <c r="I5" s="3"/>
      <c r="J5" s="3"/>
      <c r="K5" s="3"/>
    </row>
    <row r="6" spans="1:18" ht="33" customHeight="1" thickBot="1">
      <c r="B6" s="1"/>
      <c r="C6" s="45"/>
      <c r="D6" s="46"/>
      <c r="E6" s="46"/>
      <c r="F6" s="46"/>
      <c r="G6" s="46"/>
      <c r="H6" s="46"/>
      <c r="I6" s="46"/>
      <c r="J6" s="46"/>
      <c r="K6" s="47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4" t="s">
        <v>4</v>
      </c>
      <c r="C8" s="29" t="s">
        <v>5</v>
      </c>
      <c r="D8" s="29" t="s">
        <v>101</v>
      </c>
      <c r="E8" s="29" t="s">
        <v>102</v>
      </c>
      <c r="F8" s="29" t="s">
        <v>103</v>
      </c>
      <c r="G8" s="29" t="s">
        <v>104</v>
      </c>
      <c r="H8" s="30" t="s">
        <v>6</v>
      </c>
      <c r="I8" s="27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5" t="s">
        <v>8</v>
      </c>
      <c r="C9" s="31" t="s">
        <v>9</v>
      </c>
      <c r="D9" s="52" t="s">
        <v>129</v>
      </c>
      <c r="E9" s="32" t="s">
        <v>130</v>
      </c>
      <c r="F9" s="32" t="s">
        <v>131</v>
      </c>
      <c r="G9" s="38" t="s">
        <v>10</v>
      </c>
      <c r="H9" s="33">
        <v>2</v>
      </c>
      <c r="I9" s="18">
        <v>1</v>
      </c>
      <c r="J9" s="19">
        <f>I9/6-1/6</f>
        <v>0</v>
      </c>
      <c r="K9" s="20">
        <f>J9*H9/100</f>
        <v>0</v>
      </c>
      <c r="L9" s="12" t="s">
        <v>138</v>
      </c>
      <c r="R9" s="23"/>
    </row>
    <row r="10" spans="1:18" ht="96" customHeight="1">
      <c r="A10" s="2">
        <v>2</v>
      </c>
      <c r="B10" s="26" t="s">
        <v>11</v>
      </c>
      <c r="C10" s="34" t="s">
        <v>13</v>
      </c>
      <c r="D10" s="53" t="s">
        <v>105</v>
      </c>
      <c r="E10" s="39" t="s">
        <v>106</v>
      </c>
      <c r="F10" s="53" t="s">
        <v>107</v>
      </c>
      <c r="G10" s="35" t="s">
        <v>14</v>
      </c>
      <c r="H10" s="33">
        <v>2</v>
      </c>
      <c r="I10" s="18">
        <v>5</v>
      </c>
      <c r="J10" s="19">
        <f t="shared" ref="J10:J29" si="0">I10/6-1/6</f>
        <v>0.66666666666666674</v>
      </c>
      <c r="K10" s="20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6" t="s">
        <v>12</v>
      </c>
      <c r="C11" s="34" t="s">
        <v>15</v>
      </c>
      <c r="D11" s="53" t="s">
        <v>108</v>
      </c>
      <c r="E11" s="39" t="s">
        <v>109</v>
      </c>
      <c r="F11" s="36" t="s">
        <v>110</v>
      </c>
      <c r="G11" s="36" t="s">
        <v>111</v>
      </c>
      <c r="H11" s="33">
        <v>10</v>
      </c>
      <c r="I11" s="18">
        <v>5</v>
      </c>
      <c r="J11" s="19">
        <f t="shared" si="0"/>
        <v>0.66666666666666674</v>
      </c>
      <c r="K11" s="20">
        <f t="shared" si="1"/>
        <v>6.666666666666668E-2</v>
      </c>
      <c r="M11" s="12">
        <v>5</v>
      </c>
    </row>
    <row r="12" spans="1:18" ht="93" customHeight="1">
      <c r="A12" s="12">
        <v>4</v>
      </c>
      <c r="B12" s="26" t="s">
        <v>11</v>
      </c>
      <c r="C12" s="34" t="s">
        <v>17</v>
      </c>
      <c r="D12" s="53" t="s">
        <v>18</v>
      </c>
      <c r="E12" s="35" t="s">
        <v>19</v>
      </c>
      <c r="F12" s="39" t="s">
        <v>20</v>
      </c>
      <c r="G12" s="32" t="s">
        <v>112</v>
      </c>
      <c r="H12" s="33">
        <v>5</v>
      </c>
      <c r="I12" s="18">
        <v>3</v>
      </c>
      <c r="J12" s="19">
        <f t="shared" si="0"/>
        <v>0.33333333333333337</v>
      </c>
      <c r="K12" s="20">
        <f t="shared" si="1"/>
        <v>1.666666666666667E-2</v>
      </c>
      <c r="M12" s="2">
        <v>3</v>
      </c>
    </row>
    <row r="13" spans="1:18" ht="84.75" customHeight="1">
      <c r="A13" s="2">
        <v>5</v>
      </c>
      <c r="B13" s="26" t="s">
        <v>16</v>
      </c>
      <c r="C13" s="34" t="s">
        <v>94</v>
      </c>
      <c r="D13" s="35" t="s">
        <v>21</v>
      </c>
      <c r="E13" s="39" t="s">
        <v>113</v>
      </c>
      <c r="F13" s="35" t="s">
        <v>22</v>
      </c>
      <c r="G13" s="32" t="s">
        <v>23</v>
      </c>
      <c r="H13" s="33">
        <v>5</v>
      </c>
      <c r="I13" s="18">
        <v>5</v>
      </c>
      <c r="J13" s="19">
        <f t="shared" si="0"/>
        <v>0.66666666666666674</v>
      </c>
      <c r="K13" s="20">
        <f t="shared" si="1"/>
        <v>3.333333333333334E-2</v>
      </c>
      <c r="M13" s="2">
        <v>1</v>
      </c>
    </row>
    <row r="14" spans="1:18" ht="87" customHeight="1">
      <c r="A14" s="2">
        <v>6</v>
      </c>
      <c r="B14" s="26" t="s">
        <v>16</v>
      </c>
      <c r="C14" s="34" t="s">
        <v>24</v>
      </c>
      <c r="D14" s="39" t="s">
        <v>114</v>
      </c>
      <c r="E14" s="35" t="s">
        <v>25</v>
      </c>
      <c r="F14" s="35" t="s">
        <v>26</v>
      </c>
      <c r="G14" s="35" t="s">
        <v>27</v>
      </c>
      <c r="H14" s="33">
        <v>10</v>
      </c>
      <c r="I14" s="18">
        <v>7</v>
      </c>
      <c r="J14" s="19">
        <f t="shared" si="0"/>
        <v>1</v>
      </c>
      <c r="K14" s="20">
        <f t="shared" si="1"/>
        <v>0.1</v>
      </c>
    </row>
    <row r="15" spans="1:18" ht="82.5" customHeight="1">
      <c r="A15" s="12">
        <v>7</v>
      </c>
      <c r="B15" s="26" t="s">
        <v>16</v>
      </c>
      <c r="C15" s="37" t="s">
        <v>28</v>
      </c>
      <c r="D15" s="35" t="s">
        <v>29</v>
      </c>
      <c r="E15" s="39" t="s">
        <v>115</v>
      </c>
      <c r="F15" s="35" t="s">
        <v>30</v>
      </c>
      <c r="G15" s="32" t="s">
        <v>31</v>
      </c>
      <c r="H15" s="33">
        <v>5</v>
      </c>
      <c r="I15" s="18">
        <v>5</v>
      </c>
      <c r="J15" s="19">
        <f t="shared" si="0"/>
        <v>0.66666666666666674</v>
      </c>
      <c r="K15" s="20">
        <f t="shared" si="1"/>
        <v>3.333333333333334E-2</v>
      </c>
    </row>
    <row r="16" spans="1:18" ht="81.75" customHeight="1">
      <c r="A16" s="2">
        <v>8</v>
      </c>
      <c r="B16" s="26" t="s">
        <v>16</v>
      </c>
      <c r="C16" s="34" t="s">
        <v>33</v>
      </c>
      <c r="D16" s="53" t="s">
        <v>34</v>
      </c>
      <c r="E16" s="35" t="s">
        <v>35</v>
      </c>
      <c r="F16" s="35" t="s">
        <v>116</v>
      </c>
      <c r="G16" s="39" t="s">
        <v>36</v>
      </c>
      <c r="H16" s="33">
        <v>2</v>
      </c>
      <c r="I16" s="18">
        <v>1</v>
      </c>
      <c r="J16" s="19">
        <f t="shared" si="0"/>
        <v>0</v>
      </c>
      <c r="K16" s="20">
        <f t="shared" si="1"/>
        <v>0</v>
      </c>
    </row>
    <row r="17" spans="1:11" ht="41.25" customHeight="1">
      <c r="A17" s="2">
        <v>9</v>
      </c>
      <c r="B17" s="26" t="s">
        <v>32</v>
      </c>
      <c r="C17" s="37" t="s">
        <v>38</v>
      </c>
      <c r="D17" s="39" t="s">
        <v>39</v>
      </c>
      <c r="E17" s="35" t="s">
        <v>40</v>
      </c>
      <c r="F17" s="35" t="s">
        <v>41</v>
      </c>
      <c r="G17" s="35" t="s">
        <v>42</v>
      </c>
      <c r="H17" s="33">
        <v>3</v>
      </c>
      <c r="I17" s="18">
        <v>7</v>
      </c>
      <c r="J17" s="19">
        <f t="shared" si="0"/>
        <v>1</v>
      </c>
      <c r="K17" s="20">
        <f t="shared" si="1"/>
        <v>0.03</v>
      </c>
    </row>
    <row r="18" spans="1:11" ht="53.25" customHeight="1">
      <c r="A18" s="2">
        <v>10</v>
      </c>
      <c r="B18" s="26" t="s">
        <v>37</v>
      </c>
      <c r="C18" s="34" t="s">
        <v>44</v>
      </c>
      <c r="D18" s="53" t="s">
        <v>117</v>
      </c>
      <c r="E18" s="35" t="s">
        <v>45</v>
      </c>
      <c r="F18" s="35" t="s">
        <v>46</v>
      </c>
      <c r="G18" s="39" t="s">
        <v>47</v>
      </c>
      <c r="H18" s="33">
        <v>8</v>
      </c>
      <c r="I18" s="18">
        <v>1</v>
      </c>
      <c r="J18" s="19">
        <f t="shared" si="0"/>
        <v>0</v>
      </c>
      <c r="K18" s="20">
        <f t="shared" si="1"/>
        <v>0</v>
      </c>
    </row>
    <row r="19" spans="1:11" ht="96.75" customHeight="1">
      <c r="A19" s="2">
        <v>11</v>
      </c>
      <c r="B19" s="26" t="s">
        <v>43</v>
      </c>
      <c r="C19" s="34" t="s">
        <v>118</v>
      </c>
      <c r="D19" s="53" t="s">
        <v>119</v>
      </c>
      <c r="E19" s="35" t="s">
        <v>120</v>
      </c>
      <c r="F19" s="35" t="s">
        <v>121</v>
      </c>
      <c r="G19" s="39" t="s">
        <v>122</v>
      </c>
      <c r="H19" s="33">
        <v>1</v>
      </c>
      <c r="I19" s="18">
        <v>1</v>
      </c>
      <c r="J19" s="19">
        <f t="shared" si="0"/>
        <v>0</v>
      </c>
      <c r="K19" s="20">
        <f t="shared" si="1"/>
        <v>0</v>
      </c>
    </row>
    <row r="20" spans="1:11" ht="84" customHeight="1">
      <c r="A20" s="2">
        <v>12</v>
      </c>
      <c r="B20" s="26" t="s">
        <v>43</v>
      </c>
      <c r="C20" s="34" t="s">
        <v>48</v>
      </c>
      <c r="D20" s="53" t="s">
        <v>49</v>
      </c>
      <c r="E20" s="35" t="s">
        <v>50</v>
      </c>
      <c r="F20" s="35" t="s">
        <v>123</v>
      </c>
      <c r="G20" s="39" t="s">
        <v>124</v>
      </c>
      <c r="H20" s="33">
        <v>2</v>
      </c>
      <c r="I20" s="18">
        <v>1</v>
      </c>
      <c r="J20" s="19">
        <f t="shared" si="0"/>
        <v>0</v>
      </c>
      <c r="K20" s="20">
        <f t="shared" si="1"/>
        <v>0</v>
      </c>
    </row>
    <row r="21" spans="1:11" ht="93" customHeight="1">
      <c r="A21" s="2">
        <v>13</v>
      </c>
      <c r="B21" s="26" t="s">
        <v>43</v>
      </c>
      <c r="C21" s="34" t="s">
        <v>51</v>
      </c>
      <c r="D21" s="53" t="s">
        <v>52</v>
      </c>
      <c r="E21" s="35" t="s">
        <v>53</v>
      </c>
      <c r="F21" s="35" t="s">
        <v>54</v>
      </c>
      <c r="G21" s="39" t="s">
        <v>55</v>
      </c>
      <c r="H21" s="33">
        <v>3</v>
      </c>
      <c r="I21" s="18">
        <v>1</v>
      </c>
      <c r="J21" s="19">
        <f t="shared" si="0"/>
        <v>0</v>
      </c>
      <c r="K21" s="20">
        <f t="shared" si="1"/>
        <v>0</v>
      </c>
    </row>
    <row r="22" spans="1:11" ht="73.5" customHeight="1">
      <c r="B22" s="26" t="s">
        <v>43</v>
      </c>
      <c r="C22" s="34" t="s">
        <v>56</v>
      </c>
      <c r="D22" s="53" t="s">
        <v>57</v>
      </c>
      <c r="E22" s="35" t="s">
        <v>58</v>
      </c>
      <c r="F22" s="35" t="s">
        <v>59</v>
      </c>
      <c r="G22" s="39" t="s">
        <v>60</v>
      </c>
      <c r="H22" s="33">
        <v>3</v>
      </c>
      <c r="I22" s="18">
        <v>1</v>
      </c>
      <c r="J22" s="19">
        <f t="shared" si="0"/>
        <v>0</v>
      </c>
      <c r="K22" s="20">
        <f t="shared" si="1"/>
        <v>0</v>
      </c>
    </row>
    <row r="23" spans="1:11" ht="92.25" customHeight="1">
      <c r="A23" s="2">
        <v>15</v>
      </c>
      <c r="B23" s="26" t="s">
        <v>61</v>
      </c>
      <c r="C23" s="17" t="s">
        <v>125</v>
      </c>
      <c r="D23" s="54" t="s">
        <v>126</v>
      </c>
      <c r="E23" s="40" t="s">
        <v>127</v>
      </c>
      <c r="F23" s="16" t="s">
        <v>128</v>
      </c>
      <c r="G23" s="16" t="s">
        <v>62</v>
      </c>
      <c r="H23" s="11">
        <v>5</v>
      </c>
      <c r="I23" s="18">
        <v>5</v>
      </c>
      <c r="J23" s="19">
        <f t="shared" si="0"/>
        <v>0.66666666666666674</v>
      </c>
      <c r="K23" s="20">
        <f t="shared" si="1"/>
        <v>3.333333333333334E-2</v>
      </c>
    </row>
    <row r="24" spans="1:11" ht="102" customHeight="1">
      <c r="A24" s="2">
        <v>16</v>
      </c>
      <c r="B24" s="26" t="s">
        <v>61</v>
      </c>
      <c r="C24" s="17" t="s">
        <v>63</v>
      </c>
      <c r="D24" s="54" t="s">
        <v>64</v>
      </c>
      <c r="E24" s="41" t="s">
        <v>65</v>
      </c>
      <c r="F24" s="16" t="s">
        <v>66</v>
      </c>
      <c r="G24" s="16" t="s">
        <v>67</v>
      </c>
      <c r="H24" s="11">
        <v>5</v>
      </c>
      <c r="I24" s="18">
        <v>5</v>
      </c>
      <c r="J24" s="19">
        <f t="shared" si="0"/>
        <v>0.66666666666666674</v>
      </c>
      <c r="K24" s="20">
        <f t="shared" si="1"/>
        <v>3.333333333333334E-2</v>
      </c>
    </row>
    <row r="25" spans="1:11" ht="87.75" customHeight="1">
      <c r="A25" s="2">
        <v>17</v>
      </c>
      <c r="B25" s="26" t="s">
        <v>61</v>
      </c>
      <c r="C25" s="17" t="s">
        <v>68</v>
      </c>
      <c r="D25" s="41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8">
        <v>7</v>
      </c>
      <c r="J25" s="19">
        <f t="shared" si="0"/>
        <v>1</v>
      </c>
      <c r="K25" s="20">
        <f t="shared" si="1"/>
        <v>0.03</v>
      </c>
    </row>
    <row r="26" spans="1:11" ht="138.75" customHeight="1">
      <c r="A26" s="2">
        <v>18</v>
      </c>
      <c r="B26" s="26" t="s">
        <v>8</v>
      </c>
      <c r="C26" s="17" t="s">
        <v>73</v>
      </c>
      <c r="D26" s="54" t="s">
        <v>74</v>
      </c>
      <c r="E26" s="40" t="s">
        <v>75</v>
      </c>
      <c r="F26" s="16" t="s">
        <v>76</v>
      </c>
      <c r="G26" s="16" t="s">
        <v>77</v>
      </c>
      <c r="H26" s="11">
        <v>3</v>
      </c>
      <c r="I26" s="18">
        <v>5</v>
      </c>
      <c r="J26" s="19">
        <f t="shared" si="0"/>
        <v>0.66666666666666674</v>
      </c>
      <c r="K26" s="20">
        <f t="shared" si="1"/>
        <v>0.02</v>
      </c>
    </row>
    <row r="27" spans="1:11" ht="150" customHeight="1">
      <c r="A27" s="2">
        <v>19</v>
      </c>
      <c r="B27" s="26" t="s">
        <v>8</v>
      </c>
      <c r="C27" s="17" t="s">
        <v>78</v>
      </c>
      <c r="D27" s="16" t="s">
        <v>79</v>
      </c>
      <c r="E27" s="40" t="s">
        <v>80</v>
      </c>
      <c r="F27" s="16" t="s">
        <v>81</v>
      </c>
      <c r="G27" s="16" t="s">
        <v>82</v>
      </c>
      <c r="H27" s="11">
        <v>10</v>
      </c>
      <c r="I27" s="18">
        <v>5</v>
      </c>
      <c r="J27" s="19">
        <f t="shared" si="0"/>
        <v>0.66666666666666674</v>
      </c>
      <c r="K27" s="20">
        <f t="shared" si="1"/>
        <v>6.666666666666668E-2</v>
      </c>
    </row>
    <row r="28" spans="1:11" ht="85.5" customHeight="1">
      <c r="A28" s="2">
        <v>20</v>
      </c>
      <c r="B28" s="26" t="s">
        <v>8</v>
      </c>
      <c r="C28" s="17" t="s">
        <v>83</v>
      </c>
      <c r="D28" s="54" t="s">
        <v>84</v>
      </c>
      <c r="E28" s="40" t="s">
        <v>85</v>
      </c>
      <c r="F28" s="16" t="s">
        <v>86</v>
      </c>
      <c r="G28" s="16" t="s">
        <v>87</v>
      </c>
      <c r="H28" s="11">
        <v>3</v>
      </c>
      <c r="I28" s="18">
        <v>5</v>
      </c>
      <c r="J28" s="19">
        <f t="shared" si="0"/>
        <v>0.66666666666666674</v>
      </c>
      <c r="K28" s="20">
        <f t="shared" si="1"/>
        <v>0.02</v>
      </c>
    </row>
    <row r="29" spans="1:11" ht="75" customHeight="1">
      <c r="A29" s="2">
        <v>21</v>
      </c>
      <c r="B29" s="26" t="s">
        <v>8</v>
      </c>
      <c r="C29" s="17" t="s">
        <v>88</v>
      </c>
      <c r="D29" s="54" t="s">
        <v>89</v>
      </c>
      <c r="E29" s="40" t="s">
        <v>90</v>
      </c>
      <c r="F29" s="16" t="s">
        <v>91</v>
      </c>
      <c r="G29" s="16" t="s">
        <v>92</v>
      </c>
      <c r="H29" s="11">
        <v>10</v>
      </c>
      <c r="I29" s="18">
        <v>7</v>
      </c>
      <c r="J29" s="19">
        <f t="shared" si="0"/>
        <v>1</v>
      </c>
      <c r="K29" s="20">
        <f t="shared" si="1"/>
        <v>0.1</v>
      </c>
    </row>
    <row r="30" spans="1:11" ht="39" customHeight="1">
      <c r="D30" s="13"/>
      <c r="E30" s="13"/>
      <c r="F30" s="13"/>
      <c r="G30" s="14" t="s">
        <v>93</v>
      </c>
      <c r="H30" s="28">
        <f>SUM(H9:H29)</f>
        <v>100</v>
      </c>
      <c r="I30" s="43" t="s">
        <v>95</v>
      </c>
      <c r="J30" s="44"/>
      <c r="K30" s="21">
        <f>SUM(K9:K29)</f>
        <v>0.59666666666666668</v>
      </c>
    </row>
    <row r="31" spans="1:11" ht="40" customHeight="1">
      <c r="I31" s="43" t="s">
        <v>96</v>
      </c>
      <c r="J31" s="44"/>
      <c r="K31" s="22">
        <f>VLOOKUP(ROUND(K30*100,0),Hoja1!A:B,2,FALSE)</f>
        <v>4.5999999999999996</v>
      </c>
    </row>
    <row r="35" spans="2:6" ht="18">
      <c r="F35" s="56"/>
    </row>
    <row r="36" spans="2:6" ht="18">
      <c r="F36" s="57"/>
    </row>
    <row r="37" spans="2:6" ht="14">
      <c r="B37" s="55"/>
      <c r="C37" s="42" t="s">
        <v>134</v>
      </c>
      <c r="D37" s="42">
        <v>46</v>
      </c>
      <c r="E37" s="60"/>
      <c r="F37" s="58"/>
    </row>
    <row r="38" spans="2:6" ht="14">
      <c r="B38" s="55"/>
      <c r="C38" s="42"/>
      <c r="D38" s="42"/>
      <c r="E38" s="60"/>
      <c r="F38" s="58"/>
    </row>
    <row r="39" spans="2:6" ht="14">
      <c r="B39" s="55"/>
      <c r="C39" s="42" t="s">
        <v>135</v>
      </c>
      <c r="D39" s="42">
        <v>10</v>
      </c>
      <c r="E39" s="60" t="s">
        <v>139</v>
      </c>
      <c r="F39" s="59"/>
    </row>
    <row r="40" spans="2:6" ht="14">
      <c r="B40" s="55"/>
      <c r="C40" s="42"/>
      <c r="D40" s="42"/>
      <c r="E40" s="60"/>
      <c r="F40" s="59"/>
    </row>
    <row r="41" spans="2:6" ht="16">
      <c r="C41" s="61" t="s">
        <v>136</v>
      </c>
      <c r="D41" s="62">
        <f>(D37*90%)+(D39*10%)</f>
        <v>42.4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3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2023-12-26T16:59:35Z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