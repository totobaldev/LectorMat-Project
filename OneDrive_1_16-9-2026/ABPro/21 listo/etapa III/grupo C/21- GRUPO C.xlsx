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D55389F9-168E-F54F-8028-18E7EAC89A1E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5" i="1"/>
  <c r="K19" i="1"/>
  <c r="K22" i="1"/>
  <c r="K23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<sst xmlns="http://schemas.openxmlformats.org/spreadsheetml/2006/main" count="153" uniqueCount="140">
  <si>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</si>
  <si>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</si>
  <si>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</si>
  <si>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</si>
  <si>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</si>
  <si>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</si>
  <si>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</si>
  <si>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</si>
  <si>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</si>
  <si>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</si>
  <si>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</si>
  <si>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</si>
  <si>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</si>
  <si>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</si>
  <si>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</si>
  <si>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</si>
  <si>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</si>
  <si>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</si>
  <si>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</si>
  <si>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</si>
  <si>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</si>
  <si>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</si>
  <si>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</si>
  <si>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</si>
  <si>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</si>
  <si>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</si>
  <si>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</si>
  <si>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</si>
  <si>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</si>
  <si>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</si>
  <si>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</si>
  <si>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</si>
  <si>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</si>
  <si>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</si>
  <si>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</si>
  <si>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</si>
  <si>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</si>
  <si>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</si>
  <si>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</si>
  <si>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</si>
  <si>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</si>
  <si>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</si>
  <si>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</si>
  <si>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</si>
  <si>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</si>
  <si>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</si>
  <si>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</si>
  <si>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</si>
  <si>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</si>
  <si>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</si>
  <si>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</si>
  <si>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</si>
  <si>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</si>
  <si>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</si>
  <si>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</si>
  <si>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</si>
  <si>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</si>
  <si>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</si>
  <si>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</si>
  <si>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</si>
  <si>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</si>
  <si>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</si>
  <si>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</si>
  <si>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</si>
  <si>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</si>
  <si>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</si>
  <si>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</si>
  <si>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</si>
  <si>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</si>
  <si>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</si>
  <si>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</si>
  <si>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</si>
  <si>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</si>
  <si>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</si>
  <si>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</si>
  <si>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</si>
  <si>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</si>
  <si>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</si>
  <si>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</si>
  <si>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</si>
  <si>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</si>
  <si>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</si>
  <si>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</si>
  <si>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</si>
  <si>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</si>
  <si>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</si>
  <si>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</si>
  <si>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</si>
  <si>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</si>
  <si>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</si>
  <si>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</si>
  <si>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</si>
  <si>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</si>
  <si>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</si>
  <si>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</si>
  <si>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</si>
  <si>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</si>
  <si>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</si>
  <si>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</si>
  <si>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</si>
  <si>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</si>
  <si>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</si>
  <si>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</si>
  <si>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</si>
  <si>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</si>
  <si>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</si>
  <si>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</si>
  <si>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</si>
  <si>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</si>
  <si>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</si>
  <si>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</si>
  <si>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</si>
  <si>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</si>
  <si>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</si>
  <si>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</si>
  <si>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</si>
  <si>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</si>
  <si>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</si>
  <si>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</si>
  <si>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</si>
  <si>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</si>
  <si>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</si>
  <si>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</si>
  <si>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</si>
  <si>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</si>
  <si>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</si>
  <si>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</si>
  <si>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</si>
  <si>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</si>
  <si>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</si>
  <si>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</si>
  <si>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</si>
  <si>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</si>
  <si>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</si>
  <si>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C</t>
  </si>
  <si>
    <t>SI BIEN IDENTIFICAN Y NOMBRAN VARIAS NOCIONES MATEMATICAS, SOLO REALIZAN CALCULO TRIGONOMETRICO, PERO NO NOMBRAN SU IMPORTANCIA DENTRO DEL PROYECTO</t>
  </si>
  <si>
    <t>NOTA RUBRICA (90%)</t>
  </si>
  <si>
    <t>NOTA AUTO-COEVALUACION (10%)</t>
  </si>
  <si>
    <t>NO ENTREGAN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</si>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</sst>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C29" zoomScaleNormal="80" workbookViewId="0">
      <selection activeCell="F45" sqref="F45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36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48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9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9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9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49" t="s">
        <v>21</v>
      </c>
      <c r="E13" s="50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49" t="s">
        <v>25</v>
      </c>
      <c r="F14" s="36" t="s">
        <v>26</v>
      </c>
      <c r="G14" s="36" t="s">
        <v>27</v>
      </c>
      <c r="H14" s="34">
        <v>10</v>
      </c>
      <c r="I14" s="19">
        <v>5</v>
      </c>
      <c r="J14" s="20">
        <f t="shared" si="0"/>
        <v>0.66666666666666674</v>
      </c>
      <c r="K14" s="21">
        <f t="shared" si="1"/>
        <v>6.666666666666668E-2</v>
      </c>
      <c r="L14" s="2" t="s">
        <v>135</v>
      </c>
    </row>
    <row r="15" spans="1:18" ht="82.5" customHeight="1">
      <c r="A15" s="12">
        <v>7</v>
      </c>
      <c r="B15" s="27" t="s">
        <v>16</v>
      </c>
      <c r="C15" s="38" t="s">
        <v>28</v>
      </c>
      <c r="D15" s="49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49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1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36" t="s">
        <v>41</v>
      </c>
      <c r="G17" s="49" t="s">
        <v>42</v>
      </c>
      <c r="H17" s="34">
        <v>3</v>
      </c>
      <c r="I17" s="19">
        <v>1</v>
      </c>
      <c r="J17" s="20">
        <f t="shared" si="0"/>
        <v>0</v>
      </c>
      <c r="K17" s="21">
        <f t="shared" si="1"/>
        <v>0</v>
      </c>
    </row>
    <row r="18" spans="1:11" ht="53.25" customHeight="1">
      <c r="A18" s="2">
        <v>10</v>
      </c>
      <c r="B18" s="27" t="s">
        <v>37</v>
      </c>
      <c r="C18" s="35" t="s">
        <v>44</v>
      </c>
      <c r="D18" s="49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9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49" t="s">
        <v>50</v>
      </c>
      <c r="F20" s="36" t="s">
        <v>123</v>
      </c>
      <c r="G20" s="37" t="s">
        <v>124</v>
      </c>
      <c r="H20" s="34">
        <v>2</v>
      </c>
      <c r="I20" s="19">
        <v>5</v>
      </c>
      <c r="J20" s="20">
        <f t="shared" si="0"/>
        <v>0.66666666666666674</v>
      </c>
      <c r="K20" s="21">
        <f t="shared" si="1"/>
        <v>1.3333333333333334E-2</v>
      </c>
    </row>
    <row r="21" spans="1:11" ht="93" customHeight="1">
      <c r="A21" s="2">
        <v>13</v>
      </c>
      <c r="B21" s="27" t="s">
        <v>43</v>
      </c>
      <c r="C21" s="35" t="s">
        <v>51</v>
      </c>
      <c r="D21" s="49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9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5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5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5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5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51" t="s">
        <v>79</v>
      </c>
      <c r="E27" s="16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1" ht="85.5" customHeight="1">
      <c r="A28" s="2">
        <v>20</v>
      </c>
      <c r="B28" s="27" t="s">
        <v>8</v>
      </c>
      <c r="C28" s="17" t="s">
        <v>83</v>
      </c>
      <c r="D28" s="5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5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0.91000000000000014</v>
      </c>
    </row>
    <row r="31" spans="1:11" ht="40" customHeight="1">
      <c r="I31" s="39" t="s">
        <v>96</v>
      </c>
      <c r="J31" s="40"/>
      <c r="K31" s="23">
        <f>VLOOKUP(ROUND(K30*100,0),Hoja1!A:B,2,FALSE)</f>
        <v>6.5</v>
      </c>
    </row>
    <row r="34" spans="5:7">
      <c r="E34" s="2" t="s">
        <v>136</v>
      </c>
      <c r="F34" s="2">
        <v>65</v>
      </c>
    </row>
    <row r="35" spans="5:7">
      <c r="E35" s="2" t="s">
        <v>137</v>
      </c>
      <c r="F35" s="2">
        <v>10</v>
      </c>
      <c r="G35" s="2" t="s">
        <v>138</v>
      </c>
    </row>
    <row r="38" spans="5:7" ht="18">
      <c r="E38" s="53" t="s">
        <v>139</v>
      </c>
      <c r="F38" s="54">
        <f>(F34*90%)+(F35*10%)</f>
        <v>59.5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2023-12-23T23:26:37Z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