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6D853396-806A-AB41-AD7F-37C08174BBF3}" xr6:coauthVersionLast="36" xr6:coauthVersionMax="47" xr10:uidLastSave="{00000000-0000-0000-0000-000000000000}"/>
  <bookViews>
    <workbookView xWindow="0" yWindow="460" windowWidth="25600" windowHeight="144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22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<sst xmlns="http://schemas.openxmlformats.org/spreadsheetml/2006/main" count="153" uniqueCount="140">
  <si>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</si>
  <si>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</si>
  <si>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</si>
  <si>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</si>
  <si>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</si>
  <si>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</si>
  <si>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</si>
  <si>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</si>
  <si>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</si>
  <si>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</si>
  <si>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</si>
  <si>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</si>
  <si>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</si>
  <si>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</si>
  <si>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</si>
  <si>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</si>
  <si>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</si>
  <si>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</si>
  <si>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</si>
  <si>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</si>
  <si>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</si>
  <si>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</si>
  <si>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</si>
  <si>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</si>
  <si>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</si>
  <si>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</si>
  <si>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</si>
  <si>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</si>
  <si>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</si>
  <si>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</si>
  <si>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</si>
  <si>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</si>
  <si>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</si>
  <si>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</si>
  <si>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</si>
  <si>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</si>
  <si>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</si>
  <si>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</si>
  <si>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</si>
  <si>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</si>
  <si>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</si>
  <si>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</si>
  <si>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</si>
  <si>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</si>
  <si>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</si>
  <si>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</si>
  <si>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</si>
  <si>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</si>
  <si>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</si>
  <si>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</si>
  <si>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</si>
  <si>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</si>
  <si>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</si>
  <si>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</si>
  <si>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</si>
  <si>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</si>
  <si>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</si>
  <si>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</si>
  <si>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</si>
  <si>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</si>
  <si>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</si>
  <si>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</si>
  <si>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</si>
  <si>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</si>
  <si>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</si>
  <si>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</si>
  <si>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</si>
  <si>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</si>
  <si>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</si>
  <si>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</si>
  <si>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</si>
  <si>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</si>
  <si>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</si>
  <si>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</si>
  <si>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</si>
  <si>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</si>
  <si>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</si>
  <si>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</si>
  <si>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</si>
  <si>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</si>
  <si>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</si>
  <si>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</si>
  <si>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</si>
  <si>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</si>
  <si>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</si>
  <si>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</si>
  <si>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</si>
  <si>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</si>
  <si>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</si>
  <si>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</si>
  <si>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</si>
  <si>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</si>
  <si>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</si>
  <si>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</si>
  <si>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</si>
  <si>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</si>
  <si>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</si>
  <si>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</si>
  <si>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</si>
  <si>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</si>
  <si>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</si>
  <si>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</si>
  <si>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</si>
  <si>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</si>
  <si>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</si>
  <si>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</si>
  <si>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</si>
  <si>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</si>
  <si>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</si>
  <si>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</si>
  <si>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</si>
  <si>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</si>
  <si>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</si>
  <si>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</si>
  <si>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</si>
  <si>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</si>
  <si>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</si>
  <si>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</si>
  <si>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</si>
  <si>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</si>
  <si>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</si>
  <si>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</si>
  <si>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</si>
  <si>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</si>
  <si>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</si>
  <si>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</si>
  <si>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</si>
  <si>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</si>
  <si>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</si>
  <si>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</si>
  <si>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</si>
  <si>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</si>
  <si>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</si>
  <si>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</si>
  <si>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</si>
  <si>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</si>
  <si>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NOTA FINAL</t>
  </si>
  <si>
    <t>GRUPO C</t>
  </si>
  <si>
    <t>SI BIEN ES UN TEMA RELACIONADO A LA ESPECIALIDAD Y A LA ASIGNATURA, LE DIERON UN ENFOQUE NETAMENTE DESDE LA INVESTIGACIÓN</t>
  </si>
  <si>
    <t>SOLO REALIZA 1 CALCULO QUE NO SE IDENTIFICA EN LA IMAGEN PRESENTADA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</si>
</sst>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  <font>
      <sz val="8"/>
      <name val="Calibri"/>
      <family val="2"/>
    </font>
    <font>
      <b/>
      <sz val="16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5" fillId="0" borderId="6" xfId="0" applyFont="1" applyFill="1" applyBorder="1" applyAlignment="1">
      <alignment vertical="center" wrapText="1"/>
    </xf>
    <xf numFmtId="0" fontId="2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1" fontId="26" fillId="10" borderId="6" xfId="0" applyNumberFormat="1" applyFont="1" applyFill="1" applyBorder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B29" zoomScaleNormal="80" workbookViewId="0">
      <selection activeCell="F39" sqref="F39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45.1640625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53"/>
      <c r="D1" s="53"/>
      <c r="E1" s="53"/>
      <c r="F1" s="53"/>
      <c r="G1" s="53"/>
      <c r="H1" s="53"/>
      <c r="I1" s="53"/>
      <c r="J1" s="53"/>
      <c r="K1" s="53"/>
    </row>
    <row r="2" spans="1:18">
      <c r="B2" s="1"/>
      <c r="C2" s="54" t="s">
        <v>0</v>
      </c>
      <c r="D2" s="54"/>
      <c r="E2" s="54"/>
      <c r="F2" s="15" t="s">
        <v>132</v>
      </c>
      <c r="G2" s="3"/>
      <c r="H2" s="55" t="s">
        <v>1</v>
      </c>
      <c r="I2" s="55"/>
      <c r="J2" s="55"/>
      <c r="K2" s="4">
        <v>21</v>
      </c>
    </row>
    <row r="3" spans="1:18">
      <c r="B3" s="1"/>
      <c r="C3" s="54" t="s">
        <v>2</v>
      </c>
      <c r="D3" s="54"/>
      <c r="E3" s="54"/>
      <c r="F3" s="15" t="s">
        <v>133</v>
      </c>
      <c r="G3" s="3"/>
      <c r="H3" s="3"/>
      <c r="I3" s="3"/>
      <c r="J3" s="3"/>
      <c r="K3" s="3"/>
    </row>
    <row r="4" spans="1:18">
      <c r="B4" s="1"/>
      <c r="C4" s="54" t="s">
        <v>3</v>
      </c>
      <c r="D4" s="54"/>
      <c r="E4" s="54"/>
      <c r="F4" s="15" t="s">
        <v>137</v>
      </c>
      <c r="G4" s="3"/>
      <c r="H4" s="3"/>
      <c r="I4" s="3"/>
      <c r="J4" s="3"/>
      <c r="K4" s="3"/>
    </row>
    <row r="5" spans="1:18" ht="14" thickBot="1">
      <c r="B5" s="1"/>
      <c r="C5" s="56"/>
      <c r="D5" s="56"/>
      <c r="E5" s="56"/>
      <c r="F5" s="4"/>
      <c r="G5" s="3"/>
      <c r="H5" s="3"/>
      <c r="I5" s="3"/>
      <c r="J5" s="3"/>
      <c r="K5" s="3"/>
    </row>
    <row r="6" spans="1:18" ht="33" customHeight="1" thickBot="1">
      <c r="B6" s="1"/>
      <c r="C6" s="50"/>
      <c r="D6" s="51"/>
      <c r="E6" s="51"/>
      <c r="F6" s="51"/>
      <c r="G6" s="51"/>
      <c r="H6" s="51"/>
      <c r="I6" s="51"/>
      <c r="J6" s="51"/>
      <c r="K6" s="52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57" t="s">
        <v>105</v>
      </c>
      <c r="E10" s="40" t="s">
        <v>106</v>
      </c>
      <c r="F10" s="36" t="s">
        <v>107</v>
      </c>
      <c r="G10" s="36" t="s">
        <v>14</v>
      </c>
      <c r="H10" s="34">
        <v>2</v>
      </c>
      <c r="I10" s="19">
        <v>5</v>
      </c>
      <c r="J10" s="20">
        <f t="shared" ref="J10:J29" si="0">I10/6-1/6</f>
        <v>0.66666666666666674</v>
      </c>
      <c r="K10" s="21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58" t="s">
        <v>108</v>
      </c>
      <c r="E11" s="40" t="s">
        <v>109</v>
      </c>
      <c r="F11" s="37" t="s">
        <v>110</v>
      </c>
      <c r="G11" s="37" t="s">
        <v>111</v>
      </c>
      <c r="H11" s="34">
        <v>10</v>
      </c>
      <c r="I11" s="19">
        <v>5</v>
      </c>
      <c r="J11" s="20">
        <f t="shared" si="0"/>
        <v>0.66666666666666674</v>
      </c>
      <c r="K11" s="21">
        <f t="shared" si="1"/>
        <v>6.666666666666668E-2</v>
      </c>
      <c r="L11" s="2" t="s">
        <v>138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40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58" t="s">
        <v>114</v>
      </c>
      <c r="E14" s="40" t="s">
        <v>25</v>
      </c>
      <c r="F14" s="36" t="s">
        <v>26</v>
      </c>
      <c r="G14" s="36" t="s">
        <v>27</v>
      </c>
      <c r="H14" s="34">
        <v>10</v>
      </c>
      <c r="I14" s="19">
        <v>5</v>
      </c>
      <c r="J14" s="20">
        <f t="shared" si="0"/>
        <v>0.66666666666666674</v>
      </c>
      <c r="K14" s="21">
        <f t="shared" si="1"/>
        <v>6.666666666666668E-2</v>
      </c>
      <c r="L14" s="2" t="s">
        <v>139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58" t="s">
        <v>34</v>
      </c>
      <c r="E16" s="40" t="s">
        <v>35</v>
      </c>
      <c r="F16" s="36" t="s">
        <v>116</v>
      </c>
      <c r="G16" s="36" t="s">
        <v>36</v>
      </c>
      <c r="H16" s="34">
        <v>2</v>
      </c>
      <c r="I16" s="19">
        <v>5</v>
      </c>
      <c r="J16" s="20">
        <f t="shared" si="0"/>
        <v>0.66666666666666674</v>
      </c>
      <c r="K16" s="21">
        <f t="shared" si="1"/>
        <v>1.3333333333333334E-2</v>
      </c>
    </row>
    <row r="17" spans="1:11" ht="41.25" customHeight="1">
      <c r="A17" s="2">
        <v>9</v>
      </c>
      <c r="B17" s="27" t="s">
        <v>32</v>
      </c>
      <c r="C17" s="38" t="s">
        <v>38</v>
      </c>
      <c r="D17" s="58" t="s">
        <v>39</v>
      </c>
      <c r="E17" s="36" t="s">
        <v>40</v>
      </c>
      <c r="F17" s="36" t="s">
        <v>41</v>
      </c>
      <c r="G17" s="40" t="s">
        <v>42</v>
      </c>
      <c r="H17" s="34">
        <v>3</v>
      </c>
      <c r="I17" s="19">
        <v>1</v>
      </c>
      <c r="J17" s="20">
        <f t="shared" si="0"/>
        <v>0</v>
      </c>
      <c r="K17" s="21">
        <f t="shared" si="1"/>
        <v>0</v>
      </c>
    </row>
    <row r="18" spans="1:11" ht="53.25" customHeight="1">
      <c r="A18" s="2">
        <v>10</v>
      </c>
      <c r="B18" s="27" t="s">
        <v>37</v>
      </c>
      <c r="C18" s="35" t="s">
        <v>44</v>
      </c>
      <c r="D18" s="58" t="s">
        <v>117</v>
      </c>
      <c r="E18" s="40" t="s">
        <v>45</v>
      </c>
      <c r="F18" s="36" t="s">
        <v>46</v>
      </c>
      <c r="G18" s="36" t="s">
        <v>47</v>
      </c>
      <c r="H18" s="34">
        <v>8</v>
      </c>
      <c r="I18" s="19">
        <v>5</v>
      </c>
      <c r="J18" s="20">
        <f t="shared" si="0"/>
        <v>0.66666666666666674</v>
      </c>
      <c r="K18" s="21">
        <f t="shared" si="1"/>
        <v>5.3333333333333337E-2</v>
      </c>
    </row>
    <row r="19" spans="1:11" ht="96.75" customHeight="1">
      <c r="A19" s="2">
        <v>11</v>
      </c>
      <c r="B19" s="27" t="s">
        <v>43</v>
      </c>
      <c r="C19" s="35" t="s">
        <v>118</v>
      </c>
      <c r="D19" s="40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>
      <c r="A20" s="2">
        <v>12</v>
      </c>
      <c r="B20" s="27" t="s">
        <v>43</v>
      </c>
      <c r="C20" s="35" t="s">
        <v>48</v>
      </c>
      <c r="D20" s="40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1" ht="93" customHeight="1">
      <c r="A21" s="2">
        <v>13</v>
      </c>
      <c r="B21" s="27" t="s">
        <v>43</v>
      </c>
      <c r="C21" s="35" t="s">
        <v>51</v>
      </c>
      <c r="D21" s="40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1" ht="73.5" customHeight="1">
      <c r="B22" s="27" t="s">
        <v>43</v>
      </c>
      <c r="C22" s="35" t="s">
        <v>56</v>
      </c>
      <c r="D22" s="40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1" ht="92.25" customHeight="1">
      <c r="A23" s="2">
        <v>15</v>
      </c>
      <c r="B23" s="27" t="s">
        <v>61</v>
      </c>
      <c r="C23" s="17" t="s">
        <v>125</v>
      </c>
      <c r="D23" s="59" t="s">
        <v>126</v>
      </c>
      <c r="E23" s="41" t="s">
        <v>127</v>
      </c>
      <c r="F23" s="16" t="s">
        <v>128</v>
      </c>
      <c r="G23" s="16" t="s">
        <v>62</v>
      </c>
      <c r="H23" s="11">
        <v>5</v>
      </c>
      <c r="I23" s="19">
        <v>5</v>
      </c>
      <c r="J23" s="20">
        <f t="shared" si="0"/>
        <v>0.66666666666666674</v>
      </c>
      <c r="K23" s="21">
        <f t="shared" si="1"/>
        <v>3.333333333333334E-2</v>
      </c>
    </row>
    <row r="24" spans="1:11" ht="102" customHeight="1">
      <c r="A24" s="2">
        <v>16</v>
      </c>
      <c r="B24" s="27" t="s">
        <v>61</v>
      </c>
      <c r="C24" s="17" t="s">
        <v>63</v>
      </c>
      <c r="D24" s="41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>
      <c r="A25" s="2">
        <v>17</v>
      </c>
      <c r="B25" s="27" t="s">
        <v>61</v>
      </c>
      <c r="C25" s="17" t="s">
        <v>68</v>
      </c>
      <c r="D25" s="42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1" ht="138.75" customHeight="1">
      <c r="A26" s="2">
        <v>18</v>
      </c>
      <c r="B26" s="27" t="s">
        <v>8</v>
      </c>
      <c r="C26" s="17" t="s">
        <v>73</v>
      </c>
      <c r="D26" s="41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1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41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1" ht="85.5" customHeight="1">
      <c r="A28" s="2">
        <v>20</v>
      </c>
      <c r="B28" s="27" t="s">
        <v>8</v>
      </c>
      <c r="C28" s="17" t="s">
        <v>83</v>
      </c>
      <c r="D28" s="41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1" ht="75" customHeight="1">
      <c r="A29" s="2">
        <v>21</v>
      </c>
      <c r="B29" s="27" t="s">
        <v>8</v>
      </c>
      <c r="C29" s="17" t="s">
        <v>88</v>
      </c>
      <c r="D29" s="59" t="s">
        <v>89</v>
      </c>
      <c r="E29" s="41" t="s">
        <v>90</v>
      </c>
      <c r="F29" s="16" t="s">
        <v>91</v>
      </c>
      <c r="G29" s="16" t="s">
        <v>92</v>
      </c>
      <c r="H29" s="11">
        <v>10</v>
      </c>
      <c r="I29" s="19">
        <v>5</v>
      </c>
      <c r="J29" s="20">
        <f t="shared" si="0"/>
        <v>0.66666666666666674</v>
      </c>
      <c r="K29" s="21">
        <f t="shared" si="1"/>
        <v>6.666666666666668E-2</v>
      </c>
    </row>
    <row r="30" spans="1:11" ht="39" customHeight="1">
      <c r="D30" s="13"/>
      <c r="E30" s="13"/>
      <c r="F30" s="13"/>
      <c r="G30" s="14" t="s">
        <v>93</v>
      </c>
      <c r="H30" s="29">
        <f>SUM(H9:H29)</f>
        <v>100</v>
      </c>
      <c r="I30" s="48" t="s">
        <v>95</v>
      </c>
      <c r="J30" s="49"/>
      <c r="K30" s="22">
        <f>SUM(K9:K29)</f>
        <v>0.7333333333333335</v>
      </c>
    </row>
    <row r="31" spans="1:11" ht="40" customHeight="1">
      <c r="I31" s="48" t="s">
        <v>96</v>
      </c>
      <c r="J31" s="49"/>
      <c r="K31" s="23">
        <f>VLOOKUP(ROUND(K30*100,0),Hoja1!A:B,2,FALSE)</f>
        <v>5.4</v>
      </c>
    </row>
    <row r="35" spans="2:6" ht="18">
      <c r="F35" s="47" t="s">
        <v>136</v>
      </c>
    </row>
    <row r="36" spans="2:6" ht="18">
      <c r="F36" s="43"/>
    </row>
    <row r="37" spans="2:6" ht="14">
      <c r="B37" s="46"/>
      <c r="C37" s="46" t="s">
        <v>134</v>
      </c>
      <c r="D37" s="46">
        <v>54</v>
      </c>
      <c r="E37" s="46"/>
      <c r="F37" s="44"/>
    </row>
    <row r="38" spans="2:6" ht="14">
      <c r="B38" s="46"/>
      <c r="C38" s="46"/>
      <c r="D38" s="46"/>
      <c r="E38" s="46"/>
      <c r="F38" s="44"/>
    </row>
    <row r="39" spans="2:6" ht="20">
      <c r="B39" s="46"/>
      <c r="C39" s="46" t="s">
        <v>135</v>
      </c>
      <c r="D39" s="46"/>
      <c r="E39" s="46">
        <v>70</v>
      </c>
      <c r="F39" s="60">
        <f>(D37*90%)+(E39*10%)</f>
        <v>55.6</v>
      </c>
    </row>
    <row r="40" spans="2:6" ht="14">
      <c r="B40" s="46"/>
      <c r="C40" s="46"/>
      <c r="D40" s="46"/>
      <c r="E40" s="46"/>
      <c r="F40" s="45"/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3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2023-12-27T15:43:27Z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