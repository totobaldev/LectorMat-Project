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F53B24DA-12CB-A448-9C3D-8BBAE60B3F82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9" i="1"/>
  <c r="K22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<sst xmlns="http://schemas.openxmlformats.org/spreadsheetml/2006/main" count="153" uniqueCount="140">
  <si>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</si>
  <si>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</si>
  <si>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</si>
  <si>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</si>
  <si>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</si>
  <si>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</si>
  <si>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</si>
  <si>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</si>
  <si>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</si>
  <si>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</si>
  <si>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</si>
  <si>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</si>
  <si>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</si>
  <si>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</si>
  <si>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</si>
  <si>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</si>
  <si>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</si>
  <si>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</si>
  <si>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</si>
  <si>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</si>
  <si>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</si>
  <si>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</si>
  <si>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</si>
  <si>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</si>
  <si>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</si>
  <si>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</si>
  <si>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</si>
  <si>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</si>
  <si>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</si>
  <si>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</si>
  <si>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</si>
  <si>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</si>
  <si>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</si>
  <si>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</si>
  <si>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</si>
  <si>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</si>
  <si>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</si>
  <si>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</si>
  <si>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</si>
  <si>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</si>
  <si>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</si>
  <si>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</si>
  <si>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</si>
  <si>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</si>
  <si>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</si>
  <si>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</si>
  <si>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</si>
  <si>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</si>
  <si>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</si>
  <si>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</si>
  <si>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</si>
  <si>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</si>
  <si>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</si>
  <si>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</si>
  <si>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</si>
  <si>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</si>
  <si>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</si>
  <si>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</si>
  <si>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</si>
  <si>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</si>
  <si>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</si>
  <si>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</si>
  <si>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</si>
  <si>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</si>
  <si>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</si>
  <si>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</si>
  <si>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</si>
  <si>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</si>
  <si>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</si>
  <si>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</si>
  <si>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</si>
  <si>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</si>
  <si>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</si>
  <si>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</si>
  <si>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</si>
  <si>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</si>
  <si>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</si>
  <si>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</si>
  <si>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</si>
  <si>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</si>
  <si>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</si>
  <si>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</si>
  <si>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</si>
  <si>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</si>
  <si>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</si>
  <si>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</si>
  <si>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</si>
  <si>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</si>
  <si>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</si>
  <si>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</si>
  <si>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</si>
  <si>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</si>
  <si>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</si>
  <si>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</si>
  <si>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</si>
  <si>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</si>
  <si>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</si>
  <si>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</si>
  <si>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</si>
  <si>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</si>
  <si>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</si>
  <si>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</si>
  <si>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</si>
  <si>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</si>
  <si>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</si>
  <si>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</si>
  <si>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</si>
  <si>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</si>
  <si>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</si>
  <si>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</si>
  <si>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</si>
  <si>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</si>
  <si>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</si>
  <si>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</si>
  <si>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</si>
  <si>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</si>
  <si>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</si>
  <si>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</si>
  <si>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</si>
  <si>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</si>
  <si>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</si>
  <si>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</si>
  <si>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</si>
  <si>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</si>
  <si>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</si>
  <si>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</si>
  <si>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</si>
  <si>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</si>
  <si>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</si>
  <si>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</si>
  <si>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</si>
  <si>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</si>
  <si>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</si>
  <si>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</si>
  <si>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</si>
  <si>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</si>
  <si>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</si>
  <si>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G</t>
  </si>
  <si>
    <t>SI BIEN IDENTIFICAN LA UTILIZACION DE LAS NOCIONES MATEMATICAS, FORMULAS INVOLUCRADAS EN LA TEMÁTICA, FLATAN CÁLCULOS ASOCIADOS.</t>
  </si>
  <si>
    <t>DEBE MEJORAR LOS TIEMPOS 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</si>
</sst>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  <font>
      <b/>
      <sz val="16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1" fontId="25" fillId="10" borderId="6" xfId="0" applyNumberFormat="1" applyFont="1" applyFill="1" applyBorder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B27" zoomScaleNormal="80" workbookViewId="0">
      <selection activeCell="F39" sqref="F3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18.33203125" style="2" customWidth="1"/>
    <col min="12" max="12" width="38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57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57" t="s">
        <v>108</v>
      </c>
      <c r="E11" s="40" t="s">
        <v>109</v>
      </c>
      <c r="F11" s="37" t="s">
        <v>110</v>
      </c>
      <c r="G11" s="37" t="s">
        <v>111</v>
      </c>
      <c r="H11" s="34">
        <v>10</v>
      </c>
      <c r="I11" s="19">
        <v>5</v>
      </c>
      <c r="J11" s="20">
        <f t="shared" si="0"/>
        <v>0.66666666666666674</v>
      </c>
      <c r="K11" s="21">
        <f t="shared" si="1"/>
        <v>6.666666666666668E-2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57" t="s">
        <v>114</v>
      </c>
      <c r="E14" s="40" t="s">
        <v>25</v>
      </c>
      <c r="F14" s="36" t="s">
        <v>26</v>
      </c>
      <c r="G14" s="36" t="s">
        <v>27</v>
      </c>
      <c r="H14" s="34">
        <v>10</v>
      </c>
      <c r="I14" s="19">
        <v>5</v>
      </c>
      <c r="J14" s="20">
        <f t="shared" si="0"/>
        <v>0.66666666666666674</v>
      </c>
      <c r="K14" s="21">
        <f t="shared" si="1"/>
        <v>6.666666666666668E-2</v>
      </c>
      <c r="L14" s="2" t="s">
        <v>138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57" t="s">
        <v>117</v>
      </c>
      <c r="E18" s="40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  <c r="L20" s="2" t="s">
        <v>139</v>
      </c>
    </row>
    <row r="21" spans="1:12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2" ht="92.25" customHeight="1">
      <c r="A23" s="2">
        <v>15</v>
      </c>
      <c r="B23" s="27" t="s">
        <v>61</v>
      </c>
      <c r="C23" s="17" t="s">
        <v>125</v>
      </c>
      <c r="D23" s="58" t="s">
        <v>126</v>
      </c>
      <c r="E23" s="41" t="s">
        <v>127</v>
      </c>
      <c r="F23" s="16" t="s">
        <v>128</v>
      </c>
      <c r="G23" s="16" t="s">
        <v>62</v>
      </c>
      <c r="H23" s="11">
        <v>5</v>
      </c>
      <c r="I23" s="19">
        <v>5</v>
      </c>
      <c r="J23" s="20">
        <f t="shared" si="0"/>
        <v>0.66666666666666674</v>
      </c>
      <c r="K23" s="21">
        <f t="shared" si="1"/>
        <v>3.333333333333334E-2</v>
      </c>
    </row>
    <row r="24" spans="1:12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2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2" ht="75" customHeight="1">
      <c r="A29" s="2">
        <v>21</v>
      </c>
      <c r="B29" s="27" t="s">
        <v>8</v>
      </c>
      <c r="C29" s="17" t="s">
        <v>88</v>
      </c>
      <c r="D29" s="58" t="s">
        <v>89</v>
      </c>
      <c r="E29" s="41" t="s">
        <v>90</v>
      </c>
      <c r="F29" s="16" t="s">
        <v>91</v>
      </c>
      <c r="G29" s="16" t="s">
        <v>92</v>
      </c>
      <c r="H29" s="11">
        <v>10</v>
      </c>
      <c r="I29" s="19">
        <v>5</v>
      </c>
      <c r="J29" s="20">
        <f t="shared" si="0"/>
        <v>0.66666666666666674</v>
      </c>
      <c r="K29" s="21">
        <f t="shared" si="1"/>
        <v>6.666666666666668E-2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0.77000000000000024</v>
      </c>
    </row>
    <row r="31" spans="1:12" ht="40" customHeight="1">
      <c r="I31" s="48" t="s">
        <v>96</v>
      </c>
      <c r="J31" s="49"/>
      <c r="K31" s="23">
        <f>VLOOKUP(ROUND(K30*100,0),Hoja1!A:B,2,FALSE)</f>
        <v>5.6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56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20">
      <c r="B39" s="46"/>
      <c r="C39" s="46" t="s">
        <v>135</v>
      </c>
      <c r="D39" s="46"/>
      <c r="E39" s="46">
        <v>70</v>
      </c>
      <c r="F39" s="59">
        <f>(D37*90%)+(E39*10%)</f>
        <v>57.4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2023-12-27T20:30:23Z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