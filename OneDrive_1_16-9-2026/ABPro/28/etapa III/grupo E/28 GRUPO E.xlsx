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59FE84F8-B01C-074A-A589-996DB561B804}" xr6:coauthVersionLast="36" xr6:coauthVersionMax="47" xr10:uidLastSave="{00000000-0000-0000-0000-000000000000}"/>
  <bookViews>
    <workbookView xWindow="0" yWindow="460" windowWidth="25600" windowHeight="143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<sst xmlns="http://schemas.openxmlformats.org/spreadsheetml/2006/main" count="154" uniqueCount="141">
  <si>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</si>
  <si>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</si>
  <si>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</si>
  <si>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</si>
  <si>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</si>
  <si>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</si>
  <si>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</si>
  <si>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</si>
  <si>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</si>
  <si>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</si>
  <si>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</si>
  <si>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</si>
  <si>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</si>
  <si>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</si>
  <si>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</si>
  <si>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</si>
  <si>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</si>
  <si>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</si>
  <si>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</si>
  <si>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</si>
  <si>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</si>
  <si>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</si>
  <si>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</si>
  <si>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</si>
  <si>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</si>
  <si>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</si>
  <si>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</si>
  <si>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</si>
  <si>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</si>
  <si>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</si>
  <si>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</si>
  <si>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</si>
  <si>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</si>
  <si>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</si>
  <si>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</si>
  <si>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</si>
  <si>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</si>
  <si>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</si>
  <si>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</si>
  <si>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</si>
  <si>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</si>
  <si>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</si>
  <si>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</si>
  <si>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</si>
  <si>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</si>
  <si>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</si>
  <si>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</si>
  <si>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</si>
  <si>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</si>
  <si>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</si>
  <si>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</si>
  <si>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</si>
  <si>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</si>
  <si>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</si>
  <si>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</si>
  <si>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</si>
  <si>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</si>
  <si>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</si>
  <si>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</si>
  <si>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</si>
  <si>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</si>
  <si>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</si>
  <si>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</si>
  <si>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</si>
  <si>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</si>
  <si>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</si>
  <si>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</si>
  <si>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</si>
  <si>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</si>
  <si>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</si>
  <si>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</si>
  <si>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</si>
  <si>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</si>
  <si>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</si>
  <si>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</si>
  <si>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</si>
  <si>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</si>
  <si>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</si>
  <si>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</si>
  <si>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</si>
  <si>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</si>
  <si>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</si>
  <si>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</si>
  <si>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</si>
  <si>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</si>
  <si>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</si>
  <si>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</si>
  <si>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</si>
  <si>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</si>
  <si>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</si>
  <si>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</si>
  <si>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</si>
  <si>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</si>
  <si>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</si>
  <si>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</si>
  <si>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</si>
  <si>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</si>
  <si>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</si>
  <si>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</si>
  <si>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</si>
  <si>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</si>
  <si>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</si>
  <si>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</si>
  <si>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</si>
  <si>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</si>
  <si>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</si>
  <si>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</si>
  <si>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</si>
  <si>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</si>
  <si>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</si>
  <si>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</si>
  <si>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</si>
  <si>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</si>
  <si>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</si>
  <si>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</si>
  <si>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</si>
  <si>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</si>
  <si>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</si>
  <si>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</si>
  <si>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</si>
  <si>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</si>
  <si>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</si>
  <si>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</si>
  <si>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</si>
  <si>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</si>
  <si>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</si>
  <si>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</si>
  <si>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</si>
  <si>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</si>
  <si>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</si>
  <si>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</si>
  <si>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</si>
  <si>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</si>
  <si>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</si>
  <si>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</si>
  <si>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</si>
  <si>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</si>
  <si>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SI BIEN EL TEMA TIENE RELACION CON LA ESPECIALIDAD Y LA MATEMATICA, SOLO SE BASA EN EL USO DE LA HERRAMIENTA TECNOLOGICA E INTERPRESTACIÓN, PERNO REALIZA CALCULOS ASOCIADOS COMO EJEMPLO.</t>
  </si>
  <si>
    <t>MUY BUENA PRESENTACIÓN DEL VIDEO E INTERPRETACION DE LA HERRAMIENTA TECNOLOGICA Y SU APLICACIÓN DIRECTA EN TALLER.</t>
  </si>
  <si>
    <t>GRUPO E</t>
  </si>
  <si>
    <t>NO ENVIAN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</si>
</sst>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29" zoomScaleNormal="80" workbookViewId="0">
      <selection activeCell="F39" sqref="F3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22.33203125" style="2" customWidth="1"/>
    <col min="12" max="12" width="69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139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57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57" t="s">
        <v>108</v>
      </c>
      <c r="E11" s="40" t="s">
        <v>109</v>
      </c>
      <c r="F11" s="37" t="s">
        <v>110</v>
      </c>
      <c r="G11" s="37" t="s">
        <v>111</v>
      </c>
      <c r="H11" s="34">
        <v>10</v>
      </c>
      <c r="I11" s="19">
        <v>5</v>
      </c>
      <c r="J11" s="20">
        <f t="shared" si="0"/>
        <v>0.66666666666666674</v>
      </c>
      <c r="K11" s="21">
        <f t="shared" si="1"/>
        <v>6.666666666666668E-2</v>
      </c>
      <c r="L11" s="2" t="s">
        <v>137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0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57" t="s">
        <v>117</v>
      </c>
      <c r="E18" s="40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2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2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  <c r="L26" s="2" t="s">
        <v>138</v>
      </c>
    </row>
    <row r="27" spans="1:12" ht="150" customHeight="1">
      <c r="A27" s="2">
        <v>19</v>
      </c>
      <c r="B27" s="27" t="s">
        <v>8</v>
      </c>
      <c r="C27" s="17" t="s">
        <v>78</v>
      </c>
      <c r="D27" s="41" t="s">
        <v>79</v>
      </c>
      <c r="E27" s="58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2" ht="85.5" customHeight="1">
      <c r="A28" s="2">
        <v>20</v>
      </c>
      <c r="B28" s="27" t="s">
        <v>8</v>
      </c>
      <c r="C28" s="17" t="s">
        <v>83</v>
      </c>
      <c r="D28" s="58" t="s">
        <v>84</v>
      </c>
      <c r="E28" s="41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0.87666666666666693</v>
      </c>
    </row>
    <row r="31" spans="1:12" ht="40" customHeight="1">
      <c r="I31" s="48" t="s">
        <v>96</v>
      </c>
      <c r="J31" s="49"/>
      <c r="K31" s="23">
        <f>VLOOKUP(ROUND(K30*100,0),Hoja1!A:B,2,FALSE)</f>
        <v>6.3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63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135</v>
      </c>
      <c r="D39" s="46" t="s">
        <v>140</v>
      </c>
      <c r="E39" s="46">
        <v>10</v>
      </c>
      <c r="F39" s="45">
        <f>(D37*90%)+(E39*10%)</f>
        <v>57.7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2023-12-27T18:38:16Z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